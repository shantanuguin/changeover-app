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tanu\Downloads\"/>
    </mc:Choice>
  </mc:AlternateContent>
  <xr:revisionPtr revIDLastSave="0" documentId="13_ncr:1_{78409B5D-D8AF-4A7D-93C2-E3F078A7D21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A2U06" sheetId="2" r:id="rId1"/>
    <sheet name="Sheet 1" sheetId="1" r:id="rId2"/>
  </sheets>
  <definedNames>
    <definedName name="_xlnm._FilterDatabase" localSheetId="0" hidden="1">A2U06!$A$8:$N$102</definedName>
    <definedName name="_xlnm._FilterDatabase" localSheetId="1" hidden="1">'Sheet 1'!$A$8:$N$103</definedName>
    <definedName name="_xlnm.Print_Area" localSheetId="0">A2U06!$A$1:$M$127</definedName>
    <definedName name="_xlnm.Print_Area" localSheetId="1">'Sheet 1'!$A$1:$M$127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0" i="2" l="1"/>
  <c r="L90" i="2"/>
  <c r="C17" i="2"/>
  <c r="I73" i="2"/>
  <c r="J73" i="2" s="1"/>
  <c r="E73" i="2"/>
  <c r="D73" i="2"/>
  <c r="C57" i="2"/>
  <c r="K73" i="2" l="1"/>
  <c r="I13" i="2"/>
  <c r="K13" i="2" s="1"/>
  <c r="E13" i="2"/>
  <c r="D13" i="2"/>
  <c r="A11" i="2"/>
  <c r="A12" i="2" s="1"/>
  <c r="A13" i="2" s="1"/>
  <c r="A14" i="2" s="1"/>
  <c r="A15" i="2" s="1"/>
  <c r="A16" i="2" s="1"/>
  <c r="I11" i="2"/>
  <c r="J11" i="2" s="1"/>
  <c r="E11" i="2"/>
  <c r="D11" i="2"/>
  <c r="C101" i="2"/>
  <c r="E82" i="2"/>
  <c r="I82" i="2"/>
  <c r="K82" i="2" s="1"/>
  <c r="D83" i="2"/>
  <c r="D82" i="2"/>
  <c r="D84" i="2"/>
  <c r="D86" i="2"/>
  <c r="D87" i="2"/>
  <c r="D88" i="2"/>
  <c r="D85" i="2"/>
  <c r="I78" i="2"/>
  <c r="K78" i="2" s="1"/>
  <c r="E78" i="2"/>
  <c r="D78" i="2"/>
  <c r="I77" i="2"/>
  <c r="K77" i="2" s="1"/>
  <c r="E77" i="2"/>
  <c r="D77" i="2"/>
  <c r="I76" i="2"/>
  <c r="K76" i="2" s="1"/>
  <c r="E76" i="2"/>
  <c r="D76" i="2"/>
  <c r="I75" i="2"/>
  <c r="J75" i="2" s="1"/>
  <c r="E75" i="2"/>
  <c r="D75" i="2"/>
  <c r="I74" i="2"/>
  <c r="K74" i="2" s="1"/>
  <c r="E74" i="2"/>
  <c r="D74" i="2"/>
  <c r="I72" i="2"/>
  <c r="K72" i="2" s="1"/>
  <c r="E72" i="2"/>
  <c r="D72" i="2"/>
  <c r="I71" i="2"/>
  <c r="K71" i="2" s="1"/>
  <c r="E71" i="2"/>
  <c r="D71" i="2"/>
  <c r="I70" i="2"/>
  <c r="J70" i="2" s="1"/>
  <c r="E70" i="2"/>
  <c r="D70" i="2"/>
  <c r="I69" i="2"/>
  <c r="K69" i="2" s="1"/>
  <c r="E69" i="2"/>
  <c r="D69" i="2"/>
  <c r="I68" i="2"/>
  <c r="K68" i="2" s="1"/>
  <c r="E68" i="2"/>
  <c r="D68" i="2"/>
  <c r="I67" i="2"/>
  <c r="K67" i="2" s="1"/>
  <c r="E67" i="2"/>
  <c r="D67" i="2"/>
  <c r="I14" i="2"/>
  <c r="J14" i="2" s="1"/>
  <c r="E14" i="2"/>
  <c r="D14" i="2"/>
  <c r="I66" i="2"/>
  <c r="K66" i="2" s="1"/>
  <c r="E66" i="2"/>
  <c r="D66" i="2"/>
  <c r="I65" i="2"/>
  <c r="K65" i="2" s="1"/>
  <c r="E65" i="2"/>
  <c r="D65" i="2"/>
  <c r="I63" i="2"/>
  <c r="J63" i="2" s="1"/>
  <c r="E63" i="2"/>
  <c r="D63" i="2"/>
  <c r="I62" i="2"/>
  <c r="J62" i="2" s="1"/>
  <c r="E62" i="2"/>
  <c r="D62" i="2"/>
  <c r="I42" i="2"/>
  <c r="K42" i="2" s="1"/>
  <c r="E42" i="2"/>
  <c r="D42" i="2"/>
  <c r="I61" i="2"/>
  <c r="J61" i="2" s="1"/>
  <c r="E61" i="2"/>
  <c r="D61" i="2"/>
  <c r="I60" i="2"/>
  <c r="K60" i="2" s="1"/>
  <c r="E60" i="2"/>
  <c r="D60" i="2"/>
  <c r="I59" i="2"/>
  <c r="J59" i="2" s="1"/>
  <c r="E59" i="2"/>
  <c r="D59" i="2"/>
  <c r="I55" i="2"/>
  <c r="J55" i="2" s="1"/>
  <c r="E55" i="2"/>
  <c r="D55" i="2"/>
  <c r="I54" i="2"/>
  <c r="J54" i="2" s="1"/>
  <c r="E54" i="2"/>
  <c r="D54" i="2"/>
  <c r="I53" i="2"/>
  <c r="K53" i="2" s="1"/>
  <c r="E53" i="2"/>
  <c r="D53" i="2"/>
  <c r="I52" i="2"/>
  <c r="J52" i="2" s="1"/>
  <c r="E52" i="2"/>
  <c r="D52" i="2"/>
  <c r="I51" i="2"/>
  <c r="J51" i="2" s="1"/>
  <c r="E51" i="2"/>
  <c r="D51" i="2"/>
  <c r="I50" i="2"/>
  <c r="J50" i="2" s="1"/>
  <c r="E50" i="2"/>
  <c r="D50" i="2"/>
  <c r="I44" i="2"/>
  <c r="K44" i="2" s="1"/>
  <c r="E44" i="2"/>
  <c r="D44" i="2"/>
  <c r="I49" i="2"/>
  <c r="J49" i="2" s="1"/>
  <c r="E49" i="2"/>
  <c r="D49" i="2"/>
  <c r="I48" i="2"/>
  <c r="J48" i="2" s="1"/>
  <c r="E48" i="2"/>
  <c r="D48" i="2"/>
  <c r="I46" i="2"/>
  <c r="J46" i="2" s="1"/>
  <c r="E46" i="2"/>
  <c r="D46" i="2"/>
  <c r="I45" i="2"/>
  <c r="K45" i="2" s="1"/>
  <c r="E45" i="2"/>
  <c r="D45" i="2"/>
  <c r="I43" i="2"/>
  <c r="J43" i="2" s="1"/>
  <c r="E43" i="2"/>
  <c r="D43" i="2"/>
  <c r="I47" i="2"/>
  <c r="J47" i="2" s="1"/>
  <c r="E47" i="2"/>
  <c r="D47" i="2"/>
  <c r="I40" i="2"/>
  <c r="K40" i="2" s="1"/>
  <c r="E40" i="2"/>
  <c r="D40" i="2"/>
  <c r="I39" i="2"/>
  <c r="K39" i="2" s="1"/>
  <c r="E39" i="2"/>
  <c r="D39" i="2"/>
  <c r="I38" i="2"/>
  <c r="K38" i="2" s="1"/>
  <c r="E38" i="2"/>
  <c r="D38" i="2"/>
  <c r="I37" i="2"/>
  <c r="K37" i="2" s="1"/>
  <c r="E37" i="2"/>
  <c r="D37" i="2"/>
  <c r="K123" i="2"/>
  <c r="K125" i="2" s="1"/>
  <c r="E123" i="2"/>
  <c r="K122" i="2"/>
  <c r="E122" i="2"/>
  <c r="K121" i="2"/>
  <c r="E121" i="2"/>
  <c r="K120" i="2"/>
  <c r="K119" i="2"/>
  <c r="G119" i="2"/>
  <c r="K118" i="2"/>
  <c r="G118" i="2"/>
  <c r="K117" i="2"/>
  <c r="G117" i="2"/>
  <c r="E117" i="2"/>
  <c r="K116" i="2"/>
  <c r="G116" i="2"/>
  <c r="K115" i="2"/>
  <c r="G115" i="2"/>
  <c r="K114" i="2"/>
  <c r="I114" i="2"/>
  <c r="G114" i="2"/>
  <c r="K113" i="2"/>
  <c r="G113" i="2"/>
  <c r="E113" i="2"/>
  <c r="K112" i="2"/>
  <c r="G112" i="2"/>
  <c r="K111" i="2"/>
  <c r="I111" i="2"/>
  <c r="G111" i="2"/>
  <c r="K110" i="2"/>
  <c r="I110" i="2"/>
  <c r="G110" i="2"/>
  <c r="K109" i="2"/>
  <c r="G109" i="2"/>
  <c r="E109" i="2"/>
  <c r="K108" i="2"/>
  <c r="G108" i="2"/>
  <c r="E108" i="2"/>
  <c r="K107" i="2"/>
  <c r="K106" i="2"/>
  <c r="G106" i="2"/>
  <c r="K105" i="2"/>
  <c r="L105" i="2" s="1"/>
  <c r="I100" i="2"/>
  <c r="J100" i="2" s="1"/>
  <c r="E100" i="2"/>
  <c r="D100" i="2"/>
  <c r="I99" i="2"/>
  <c r="K99" i="2" s="1"/>
  <c r="E99" i="2"/>
  <c r="D99" i="2"/>
  <c r="I98" i="2"/>
  <c r="J98" i="2" s="1"/>
  <c r="E98" i="2"/>
  <c r="D98" i="2"/>
  <c r="I97" i="2"/>
  <c r="J97" i="2" s="1"/>
  <c r="G122" i="2" s="1"/>
  <c r="E97" i="2"/>
  <c r="D97" i="2"/>
  <c r="I96" i="2"/>
  <c r="K96" i="2" s="1"/>
  <c r="E96" i="2"/>
  <c r="D96" i="2"/>
  <c r="I95" i="2"/>
  <c r="J95" i="2" s="1"/>
  <c r="E95" i="2"/>
  <c r="D95" i="2"/>
  <c r="I94" i="2"/>
  <c r="K94" i="2" s="1"/>
  <c r="E94" i="2"/>
  <c r="D94" i="2"/>
  <c r="I93" i="2"/>
  <c r="K93" i="2" s="1"/>
  <c r="E93" i="2"/>
  <c r="D93" i="2"/>
  <c r="I89" i="2"/>
  <c r="J89" i="2" s="1"/>
  <c r="E89" i="2"/>
  <c r="D89" i="2"/>
  <c r="G107" i="2"/>
  <c r="I80" i="2"/>
  <c r="J80" i="2" s="1"/>
  <c r="E80" i="2"/>
  <c r="D80" i="2"/>
  <c r="I79" i="2"/>
  <c r="J79" i="2" s="1"/>
  <c r="E79" i="2"/>
  <c r="D79" i="2"/>
  <c r="E107" i="2"/>
  <c r="I85" i="2"/>
  <c r="K85" i="2" s="1"/>
  <c r="E85" i="2"/>
  <c r="I88" i="2"/>
  <c r="J88" i="2" s="1"/>
  <c r="E88" i="2"/>
  <c r="I87" i="2"/>
  <c r="K87" i="2" s="1"/>
  <c r="E87" i="2"/>
  <c r="I86" i="2"/>
  <c r="K86" i="2" s="1"/>
  <c r="E86" i="2"/>
  <c r="I84" i="2"/>
  <c r="K84" i="2" s="1"/>
  <c r="E84" i="2"/>
  <c r="I83" i="2"/>
  <c r="K83" i="2" s="1"/>
  <c r="E83" i="2"/>
  <c r="I64" i="2"/>
  <c r="K64" i="2" s="1"/>
  <c r="E64" i="2"/>
  <c r="D64" i="2"/>
  <c r="I81" i="2"/>
  <c r="K81" i="2" s="1"/>
  <c r="E81" i="2"/>
  <c r="D81" i="2"/>
  <c r="I41" i="2"/>
  <c r="J41" i="2" s="1"/>
  <c r="E114" i="2" s="1"/>
  <c r="E41" i="2"/>
  <c r="D41" i="2"/>
  <c r="I36" i="2"/>
  <c r="K36" i="2" s="1"/>
  <c r="E36" i="2"/>
  <c r="D36" i="2"/>
  <c r="I35" i="2"/>
  <c r="J35" i="2" s="1"/>
  <c r="E35" i="2"/>
  <c r="D35" i="2"/>
  <c r="I34" i="2"/>
  <c r="J34" i="2" s="1"/>
  <c r="E34" i="2"/>
  <c r="D34" i="2"/>
  <c r="I33" i="2"/>
  <c r="J33" i="2" s="1"/>
  <c r="E33" i="2"/>
  <c r="D33" i="2"/>
  <c r="I58" i="2"/>
  <c r="E58" i="2"/>
  <c r="D58" i="2"/>
  <c r="I18" i="2"/>
  <c r="J18" i="2" s="1"/>
  <c r="E18" i="2"/>
  <c r="D18" i="2"/>
  <c r="I56" i="2"/>
  <c r="J56" i="2" s="1"/>
  <c r="E56" i="2"/>
  <c r="D56" i="2"/>
  <c r="I25" i="2"/>
  <c r="J25" i="2" s="1"/>
  <c r="E25" i="2"/>
  <c r="D25" i="2"/>
  <c r="I24" i="2"/>
  <c r="K24" i="2" s="1"/>
  <c r="E24" i="2"/>
  <c r="D24" i="2"/>
  <c r="I23" i="2"/>
  <c r="J23" i="2" s="1"/>
  <c r="E23" i="2"/>
  <c r="D23" i="2"/>
  <c r="I22" i="2"/>
  <c r="J22" i="2" s="1"/>
  <c r="E22" i="2"/>
  <c r="D22" i="2"/>
  <c r="I21" i="2"/>
  <c r="K21" i="2" s="1"/>
  <c r="E21" i="2"/>
  <c r="D21" i="2"/>
  <c r="I20" i="2"/>
  <c r="K20" i="2" s="1"/>
  <c r="E20" i="2"/>
  <c r="D20" i="2"/>
  <c r="I19" i="2"/>
  <c r="E19" i="2"/>
  <c r="D19" i="2"/>
  <c r="L17" i="2"/>
  <c r="I16" i="2"/>
  <c r="J16" i="2" s="1"/>
  <c r="E16" i="2"/>
  <c r="D16" i="2"/>
  <c r="I32" i="2"/>
  <c r="J32" i="2" s="1"/>
  <c r="E32" i="2"/>
  <c r="D32" i="2"/>
  <c r="I31" i="2"/>
  <c r="J31" i="2" s="1"/>
  <c r="E31" i="2"/>
  <c r="D31" i="2"/>
  <c r="I30" i="2"/>
  <c r="K30" i="2" s="1"/>
  <c r="E30" i="2"/>
  <c r="D30" i="2"/>
  <c r="I29" i="2"/>
  <c r="J29" i="2" s="1"/>
  <c r="E29" i="2"/>
  <c r="D29" i="2"/>
  <c r="I28" i="2"/>
  <c r="J28" i="2" s="1"/>
  <c r="E28" i="2"/>
  <c r="D28" i="2"/>
  <c r="I27" i="2"/>
  <c r="K27" i="2" s="1"/>
  <c r="E27" i="2"/>
  <c r="D27" i="2"/>
  <c r="I26" i="2"/>
  <c r="K26" i="2" s="1"/>
  <c r="E26" i="2"/>
  <c r="D26" i="2"/>
  <c r="I12" i="2"/>
  <c r="J12" i="2" s="1"/>
  <c r="E12" i="2"/>
  <c r="D12" i="2"/>
  <c r="I15" i="2"/>
  <c r="J15" i="2" s="1"/>
  <c r="E15" i="2"/>
  <c r="D15" i="2"/>
  <c r="I10" i="2"/>
  <c r="K10" i="2" s="1"/>
  <c r="E10" i="2"/>
  <c r="D10" i="2"/>
  <c r="K3" i="2"/>
  <c r="I89" i="1"/>
  <c r="K89" i="1" s="1"/>
  <c r="E89" i="1"/>
  <c r="D89" i="1"/>
  <c r="I77" i="1"/>
  <c r="K77" i="1" s="1"/>
  <c r="E77" i="1"/>
  <c r="D77" i="1"/>
  <c r="I56" i="1"/>
  <c r="K56" i="1" s="1"/>
  <c r="E56" i="1"/>
  <c r="D56" i="1"/>
  <c r="I47" i="1"/>
  <c r="K47" i="1" s="1"/>
  <c r="E47" i="1"/>
  <c r="D47" i="1"/>
  <c r="I48" i="1"/>
  <c r="K48" i="1" s="1"/>
  <c r="E48" i="1"/>
  <c r="D48" i="1"/>
  <c r="I75" i="1"/>
  <c r="K75" i="1" s="1"/>
  <c r="E75" i="1"/>
  <c r="D75" i="1"/>
  <c r="I74" i="1"/>
  <c r="K74" i="1" s="1"/>
  <c r="E74" i="1"/>
  <c r="D74" i="1"/>
  <c r="I73" i="1"/>
  <c r="K73" i="1" s="1"/>
  <c r="E73" i="1"/>
  <c r="D73" i="1"/>
  <c r="I72" i="1"/>
  <c r="K72" i="1" s="1"/>
  <c r="E72" i="1"/>
  <c r="D72" i="1"/>
  <c r="I71" i="1"/>
  <c r="K71" i="1" s="1"/>
  <c r="E71" i="1"/>
  <c r="D71" i="1"/>
  <c r="I70" i="1"/>
  <c r="K70" i="1" s="1"/>
  <c r="E70" i="1"/>
  <c r="D70" i="1"/>
  <c r="I69" i="1"/>
  <c r="J69" i="1" s="1"/>
  <c r="E69" i="1"/>
  <c r="D69" i="1"/>
  <c r="I68" i="1"/>
  <c r="K68" i="1" s="1"/>
  <c r="E68" i="1"/>
  <c r="D68" i="1"/>
  <c r="I67" i="1"/>
  <c r="K67" i="1" s="1"/>
  <c r="E67" i="1"/>
  <c r="D67" i="1"/>
  <c r="I66" i="1"/>
  <c r="K66" i="1" s="1"/>
  <c r="E66" i="1"/>
  <c r="D66" i="1"/>
  <c r="I65" i="1"/>
  <c r="K65" i="1" s="1"/>
  <c r="E65" i="1"/>
  <c r="D65" i="1"/>
  <c r="I64" i="1"/>
  <c r="J64" i="1" s="1"/>
  <c r="E64" i="1"/>
  <c r="D64" i="1"/>
  <c r="I62" i="1"/>
  <c r="K62" i="1" s="1"/>
  <c r="E62" i="1"/>
  <c r="D62" i="1"/>
  <c r="I61" i="1"/>
  <c r="K61" i="1" s="1"/>
  <c r="E61" i="1"/>
  <c r="D61" i="1"/>
  <c r="I60" i="1"/>
  <c r="K60" i="1" s="1"/>
  <c r="E60" i="1"/>
  <c r="D60" i="1"/>
  <c r="I59" i="1"/>
  <c r="K59" i="1" s="1"/>
  <c r="E59" i="1"/>
  <c r="D59" i="1"/>
  <c r="I58" i="1"/>
  <c r="K58" i="1" s="1"/>
  <c r="E58" i="1"/>
  <c r="D58" i="1"/>
  <c r="I57" i="1"/>
  <c r="K57" i="1" s="1"/>
  <c r="E57" i="1"/>
  <c r="D57" i="1"/>
  <c r="J55" i="1"/>
  <c r="I55" i="1"/>
  <c r="K55" i="1" s="1"/>
  <c r="E55" i="1"/>
  <c r="D55" i="1"/>
  <c r="I54" i="1"/>
  <c r="K54" i="1" s="1"/>
  <c r="E54" i="1"/>
  <c r="D54" i="1"/>
  <c r="I53" i="1"/>
  <c r="K53" i="1" s="1"/>
  <c r="E53" i="1"/>
  <c r="D53" i="1"/>
  <c r="I51" i="1"/>
  <c r="K51" i="1" s="1"/>
  <c r="E51" i="1"/>
  <c r="D51" i="1"/>
  <c r="I50" i="1"/>
  <c r="K50" i="1" s="1"/>
  <c r="E50" i="1"/>
  <c r="D50" i="1"/>
  <c r="I44" i="1"/>
  <c r="K44" i="1" s="1"/>
  <c r="E44" i="1"/>
  <c r="D44" i="1"/>
  <c r="I49" i="1"/>
  <c r="K49" i="1" s="1"/>
  <c r="E49" i="1"/>
  <c r="D49" i="1"/>
  <c r="I46" i="1"/>
  <c r="K46" i="1" s="1"/>
  <c r="E46" i="1"/>
  <c r="D46" i="1"/>
  <c r="I45" i="1"/>
  <c r="J45" i="1" s="1"/>
  <c r="E45" i="1"/>
  <c r="D45" i="1"/>
  <c r="I43" i="1"/>
  <c r="K43" i="1" s="1"/>
  <c r="E43" i="1"/>
  <c r="D43" i="1"/>
  <c r="I90" i="1"/>
  <c r="K90" i="1" s="1"/>
  <c r="E90" i="1"/>
  <c r="D90" i="1"/>
  <c r="I88" i="1"/>
  <c r="J88" i="1" s="1"/>
  <c r="E88" i="1"/>
  <c r="D88" i="1"/>
  <c r="I87" i="1"/>
  <c r="J87" i="1" s="1"/>
  <c r="E87" i="1"/>
  <c r="D87" i="1"/>
  <c r="I86" i="1"/>
  <c r="K86" i="1" s="1"/>
  <c r="E86" i="1"/>
  <c r="D86" i="1"/>
  <c r="I85" i="1"/>
  <c r="K85" i="1" s="1"/>
  <c r="E85" i="1"/>
  <c r="D85" i="1"/>
  <c r="I84" i="1"/>
  <c r="J84" i="1" s="1"/>
  <c r="E84" i="1"/>
  <c r="D84" i="1"/>
  <c r="I83" i="1"/>
  <c r="J83" i="1" s="1"/>
  <c r="E83" i="1"/>
  <c r="D83" i="1"/>
  <c r="I82" i="1"/>
  <c r="J82" i="1" s="1"/>
  <c r="E82" i="1"/>
  <c r="D82" i="1"/>
  <c r="I80" i="1"/>
  <c r="K80" i="1" s="1"/>
  <c r="E80" i="1"/>
  <c r="D80" i="1"/>
  <c r="I79" i="1"/>
  <c r="J79" i="1" s="1"/>
  <c r="E79" i="1"/>
  <c r="D79" i="1"/>
  <c r="I78" i="1"/>
  <c r="J78" i="1" s="1"/>
  <c r="E78" i="1"/>
  <c r="D78" i="1"/>
  <c r="J76" i="1"/>
  <c r="I76" i="1"/>
  <c r="K76" i="1" s="1"/>
  <c r="E76" i="1"/>
  <c r="D76" i="1"/>
  <c r="I38" i="1"/>
  <c r="K38" i="1" s="1"/>
  <c r="E38" i="1"/>
  <c r="D38" i="1"/>
  <c r="I37" i="1"/>
  <c r="K37" i="1" s="1"/>
  <c r="E37" i="1"/>
  <c r="D37" i="1"/>
  <c r="I36" i="1"/>
  <c r="K36" i="1" s="1"/>
  <c r="E36" i="1"/>
  <c r="D36" i="1"/>
  <c r="I35" i="1"/>
  <c r="K35" i="1" s="1"/>
  <c r="E35" i="1"/>
  <c r="D35" i="1"/>
  <c r="I34" i="1"/>
  <c r="K34" i="1" s="1"/>
  <c r="E34" i="1"/>
  <c r="D34" i="1"/>
  <c r="I33" i="1"/>
  <c r="K33" i="1" s="1"/>
  <c r="E33" i="1"/>
  <c r="D33" i="1"/>
  <c r="I32" i="1"/>
  <c r="J32" i="1" s="1"/>
  <c r="E32" i="1"/>
  <c r="D32" i="1"/>
  <c r="I31" i="1"/>
  <c r="K31" i="1" s="1"/>
  <c r="E31" i="1"/>
  <c r="D31" i="1"/>
  <c r="I30" i="1"/>
  <c r="K30" i="1" s="1"/>
  <c r="E30" i="1"/>
  <c r="D30" i="1"/>
  <c r="I29" i="1"/>
  <c r="K29" i="1" s="1"/>
  <c r="E29" i="1"/>
  <c r="D29" i="1"/>
  <c r="I28" i="1"/>
  <c r="K28" i="1" s="1"/>
  <c r="E28" i="1"/>
  <c r="D28" i="1"/>
  <c r="I27" i="1"/>
  <c r="J27" i="1" s="1"/>
  <c r="E27" i="1"/>
  <c r="D27" i="1"/>
  <c r="I26" i="1"/>
  <c r="K26" i="1" s="1"/>
  <c r="E26" i="1"/>
  <c r="D26" i="1"/>
  <c r="I25" i="1"/>
  <c r="K25" i="1" s="1"/>
  <c r="E25" i="1"/>
  <c r="D25" i="1"/>
  <c r="I24" i="1"/>
  <c r="K24" i="1" s="1"/>
  <c r="E24" i="1"/>
  <c r="D24" i="1"/>
  <c r="I23" i="1"/>
  <c r="J23" i="1" s="1"/>
  <c r="E23" i="1"/>
  <c r="D23" i="1"/>
  <c r="K58" i="2" l="1"/>
  <c r="I90" i="2"/>
  <c r="F100" i="2"/>
  <c r="F73" i="2"/>
  <c r="J71" i="2"/>
  <c r="K70" i="2"/>
  <c r="F11" i="2"/>
  <c r="J38" i="2"/>
  <c r="J13" i="2"/>
  <c r="F13" i="2"/>
  <c r="K75" i="2"/>
  <c r="J76" i="2"/>
  <c r="I57" i="2"/>
  <c r="J84" i="2"/>
  <c r="K14" i="2"/>
  <c r="C92" i="2"/>
  <c r="K11" i="2"/>
  <c r="I17" i="2"/>
  <c r="F77" i="2"/>
  <c r="F78" i="2"/>
  <c r="K51" i="2"/>
  <c r="F87" i="2"/>
  <c r="J87" i="2"/>
  <c r="F68" i="2"/>
  <c r="F69" i="2"/>
  <c r="F70" i="2"/>
  <c r="F75" i="2"/>
  <c r="J78" i="2"/>
  <c r="F88" i="2"/>
  <c r="F82" i="2"/>
  <c r="J45" i="2"/>
  <c r="J66" i="2"/>
  <c r="F14" i="2"/>
  <c r="J67" i="2"/>
  <c r="J74" i="2"/>
  <c r="F85" i="2"/>
  <c r="F86" i="2"/>
  <c r="J82" i="2"/>
  <c r="F62" i="2"/>
  <c r="F63" i="2"/>
  <c r="F65" i="2"/>
  <c r="F66" i="2"/>
  <c r="F67" i="2"/>
  <c r="F72" i="2"/>
  <c r="F74" i="2"/>
  <c r="F71" i="2"/>
  <c r="F76" i="2"/>
  <c r="F84" i="2"/>
  <c r="K88" i="2"/>
  <c r="J86" i="2"/>
  <c r="J83" i="2"/>
  <c r="J64" i="2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J69" i="2"/>
  <c r="J68" i="2"/>
  <c r="J72" i="2"/>
  <c r="J77" i="2"/>
  <c r="J65" i="2"/>
  <c r="K62" i="2"/>
  <c r="K63" i="2"/>
  <c r="J53" i="2"/>
  <c r="J42" i="2"/>
  <c r="K56" i="2"/>
  <c r="F37" i="2"/>
  <c r="K48" i="2"/>
  <c r="K55" i="2"/>
  <c r="F47" i="2"/>
  <c r="F43" i="2"/>
  <c r="F45" i="2"/>
  <c r="J44" i="2"/>
  <c r="J60" i="2"/>
  <c r="F39" i="2"/>
  <c r="F40" i="2"/>
  <c r="F50" i="2"/>
  <c r="F54" i="2"/>
  <c r="F61" i="2"/>
  <c r="J85" i="2"/>
  <c r="J37" i="2"/>
  <c r="F49" i="2"/>
  <c r="F44" i="2"/>
  <c r="K50" i="2"/>
  <c r="F52" i="2"/>
  <c r="F53" i="2"/>
  <c r="K54" i="2"/>
  <c r="F59" i="2"/>
  <c r="F60" i="2"/>
  <c r="K61" i="2"/>
  <c r="F42" i="2"/>
  <c r="F38" i="2"/>
  <c r="J40" i="2"/>
  <c r="F46" i="2"/>
  <c r="F48" i="2"/>
  <c r="F51" i="2"/>
  <c r="F55" i="2"/>
  <c r="K46" i="2"/>
  <c r="K47" i="2"/>
  <c r="K43" i="2"/>
  <c r="K49" i="2"/>
  <c r="K52" i="2"/>
  <c r="K59" i="2"/>
  <c r="J39" i="2"/>
  <c r="F12" i="2"/>
  <c r="J27" i="2"/>
  <c r="L106" i="2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F23" i="2"/>
  <c r="G3" i="2"/>
  <c r="F16" i="2"/>
  <c r="F35" i="2"/>
  <c r="K79" i="2"/>
  <c r="K95" i="2"/>
  <c r="J96" i="2"/>
  <c r="E120" i="2" s="1"/>
  <c r="F83" i="2"/>
  <c r="J81" i="2"/>
  <c r="F80" i="2"/>
  <c r="K89" i="2"/>
  <c r="K34" i="2"/>
  <c r="K41" i="2"/>
  <c r="K33" i="2"/>
  <c r="F29" i="2"/>
  <c r="F19" i="2"/>
  <c r="J21" i="2"/>
  <c r="F18" i="2"/>
  <c r="K97" i="2"/>
  <c r="K100" i="2"/>
  <c r="K15" i="2"/>
  <c r="K32" i="2"/>
  <c r="F98" i="2"/>
  <c r="K22" i="2"/>
  <c r="K25" i="2"/>
  <c r="K28" i="2"/>
  <c r="K31" i="2"/>
  <c r="J10" i="2"/>
  <c r="J26" i="2"/>
  <c r="F28" i="2"/>
  <c r="J30" i="2"/>
  <c r="F32" i="2"/>
  <c r="J20" i="2"/>
  <c r="F22" i="2"/>
  <c r="J24" i="2"/>
  <c r="F56" i="2"/>
  <c r="J58" i="2"/>
  <c r="F34" i="2"/>
  <c r="J36" i="2"/>
  <c r="F81" i="2"/>
  <c r="F64" i="2"/>
  <c r="E118" i="2"/>
  <c r="G120" i="2"/>
  <c r="J93" i="2"/>
  <c r="J94" i="2"/>
  <c r="F97" i="2"/>
  <c r="J99" i="2"/>
  <c r="F10" i="2"/>
  <c r="K12" i="2"/>
  <c r="F26" i="2"/>
  <c r="K29" i="2"/>
  <c r="F30" i="2"/>
  <c r="K16" i="2"/>
  <c r="K19" i="2"/>
  <c r="F20" i="2"/>
  <c r="K23" i="2"/>
  <c r="F24" i="2"/>
  <c r="K18" i="2"/>
  <c r="F58" i="2"/>
  <c r="K35" i="2"/>
  <c r="F36" i="2"/>
  <c r="K80" i="2"/>
  <c r="F93" i="2"/>
  <c r="L93" i="2" s="1"/>
  <c r="F94" i="2"/>
  <c r="K98" i="2"/>
  <c r="F99" i="2"/>
  <c r="I101" i="2"/>
  <c r="F15" i="2"/>
  <c r="F27" i="2"/>
  <c r="F31" i="2"/>
  <c r="J19" i="2"/>
  <c r="F21" i="2"/>
  <c r="F25" i="2"/>
  <c r="F33" i="2"/>
  <c r="F41" i="2"/>
  <c r="F79" i="2"/>
  <c r="F89" i="2"/>
  <c r="F95" i="2"/>
  <c r="L95" i="2" s="1"/>
  <c r="F96" i="2"/>
  <c r="J62" i="1"/>
  <c r="J48" i="1"/>
  <c r="J56" i="1"/>
  <c r="J77" i="1"/>
  <c r="J59" i="1"/>
  <c r="J44" i="1"/>
  <c r="J50" i="1"/>
  <c r="J73" i="1"/>
  <c r="J89" i="1"/>
  <c r="J85" i="1"/>
  <c r="J60" i="1"/>
  <c r="J53" i="1"/>
  <c r="K64" i="1"/>
  <c r="K82" i="1"/>
  <c r="K45" i="1"/>
  <c r="K69" i="1"/>
  <c r="J90" i="1"/>
  <c r="J43" i="1"/>
  <c r="J67" i="1"/>
  <c r="J68" i="1"/>
  <c r="J71" i="1"/>
  <c r="J47" i="1"/>
  <c r="J80" i="1"/>
  <c r="J86" i="1"/>
  <c r="J46" i="1"/>
  <c r="J54" i="1"/>
  <c r="J58" i="1"/>
  <c r="J65" i="1"/>
  <c r="J72" i="1"/>
  <c r="J75" i="1"/>
  <c r="K78" i="1"/>
  <c r="K83" i="1"/>
  <c r="K87" i="1"/>
  <c r="J49" i="1"/>
  <c r="J51" i="1"/>
  <c r="J57" i="1"/>
  <c r="J61" i="1"/>
  <c r="J66" i="1"/>
  <c r="J70" i="1"/>
  <c r="J74" i="1"/>
  <c r="K79" i="1"/>
  <c r="K84" i="1"/>
  <c r="K88" i="1"/>
  <c r="K23" i="1"/>
  <c r="J24" i="1"/>
  <c r="K27" i="1"/>
  <c r="J36" i="1"/>
  <c r="J26" i="1"/>
  <c r="K32" i="1"/>
  <c r="J30" i="1"/>
  <c r="J31" i="1"/>
  <c r="J34" i="1"/>
  <c r="J28" i="1"/>
  <c r="J35" i="1"/>
  <c r="J38" i="1"/>
  <c r="J25" i="1"/>
  <c r="J29" i="1"/>
  <c r="J33" i="1"/>
  <c r="J37" i="1"/>
  <c r="K90" i="2" l="1"/>
  <c r="J90" i="2"/>
  <c r="E112" i="2"/>
  <c r="E119" i="2"/>
  <c r="E111" i="2"/>
  <c r="J17" i="2"/>
  <c r="K57" i="2"/>
  <c r="J57" i="2"/>
  <c r="I92" i="2"/>
  <c r="K17" i="2"/>
  <c r="E115" i="2"/>
  <c r="E116" i="2"/>
  <c r="K101" i="2"/>
  <c r="L101" i="2"/>
  <c r="E106" i="2"/>
  <c r="G121" i="2"/>
  <c r="E110" i="2"/>
  <c r="G123" i="2"/>
  <c r="J101" i="2"/>
  <c r="D20" i="1"/>
  <c r="K123" i="1"/>
  <c r="K125" i="1" s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I111" i="1"/>
  <c r="K92" i="2" l="1"/>
  <c r="J92" i="2"/>
  <c r="G125" i="2"/>
  <c r="I110" i="1"/>
  <c r="G120" i="1" l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E123" i="1"/>
  <c r="E122" i="1"/>
  <c r="E121" i="1"/>
  <c r="E119" i="1"/>
  <c r="E118" i="1"/>
  <c r="E117" i="1"/>
  <c r="E115" i="1"/>
  <c r="E114" i="1"/>
  <c r="E113" i="1"/>
  <c r="E111" i="1"/>
  <c r="E109" i="1"/>
  <c r="E108" i="1"/>
  <c r="E107" i="1"/>
  <c r="K3" i="1"/>
  <c r="I101" i="1"/>
  <c r="I100" i="1"/>
  <c r="I99" i="1"/>
  <c r="I98" i="1"/>
  <c r="I97" i="1"/>
  <c r="I96" i="1"/>
  <c r="I95" i="1"/>
  <c r="I94" i="1"/>
  <c r="I91" i="1"/>
  <c r="I41" i="1"/>
  <c r="I40" i="1"/>
  <c r="I21" i="1"/>
  <c r="I20" i="1"/>
  <c r="I19" i="1"/>
  <c r="I18" i="1"/>
  <c r="I17" i="1"/>
  <c r="I16" i="1"/>
  <c r="I15" i="1"/>
  <c r="I14" i="1"/>
  <c r="I13" i="1"/>
  <c r="I12" i="1"/>
  <c r="I11" i="1"/>
  <c r="I10" i="1"/>
  <c r="F77" i="1" l="1"/>
  <c r="F56" i="1"/>
  <c r="F89" i="1"/>
  <c r="F48" i="1"/>
  <c r="F47" i="1"/>
  <c r="F71" i="1"/>
  <c r="F70" i="1"/>
  <c r="F68" i="1"/>
  <c r="F60" i="1"/>
  <c r="F53" i="1"/>
  <c r="F51" i="1"/>
  <c r="F85" i="1"/>
  <c r="F84" i="1"/>
  <c r="F83" i="1"/>
  <c r="F74" i="1"/>
  <c r="F57" i="1"/>
  <c r="F54" i="1"/>
  <c r="F86" i="1"/>
  <c r="F80" i="1"/>
  <c r="F79" i="1"/>
  <c r="F69" i="1"/>
  <c r="F61" i="1"/>
  <c r="F59" i="1"/>
  <c r="F43" i="1"/>
  <c r="F82" i="1"/>
  <c r="F73" i="1"/>
  <c r="F67" i="1"/>
  <c r="F66" i="1"/>
  <c r="F64" i="1"/>
  <c r="F55" i="1"/>
  <c r="F44" i="1"/>
  <c r="F49" i="1"/>
  <c r="F45" i="1"/>
  <c r="F90" i="1"/>
  <c r="F88" i="1"/>
  <c r="F87" i="1"/>
  <c r="F76" i="1"/>
  <c r="F75" i="1"/>
  <c r="F72" i="1"/>
  <c r="F65" i="1"/>
  <c r="F58" i="1"/>
  <c r="F46" i="1"/>
  <c r="F78" i="1"/>
  <c r="F62" i="1"/>
  <c r="F50" i="1"/>
  <c r="F34" i="1"/>
  <c r="F33" i="1"/>
  <c r="F31" i="1"/>
  <c r="F24" i="1"/>
  <c r="F37" i="1"/>
  <c r="F23" i="1"/>
  <c r="F36" i="1"/>
  <c r="F30" i="1"/>
  <c r="F29" i="1"/>
  <c r="F27" i="1"/>
  <c r="F38" i="1"/>
  <c r="F35" i="1"/>
  <c r="F28" i="1"/>
  <c r="F32" i="1"/>
  <c r="F26" i="1"/>
  <c r="F25" i="1"/>
  <c r="L105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40" i="1" s="1"/>
  <c r="J12" i="1"/>
  <c r="K12" i="1"/>
  <c r="F12" i="1"/>
  <c r="E12" i="1"/>
  <c r="D12" i="1"/>
  <c r="K11" i="1"/>
  <c r="F11" i="1"/>
  <c r="E11" i="1"/>
  <c r="D11" i="1"/>
  <c r="J14" i="1"/>
  <c r="K14" i="1"/>
  <c r="F14" i="1"/>
  <c r="E14" i="1"/>
  <c r="D14" i="1"/>
  <c r="K13" i="1"/>
  <c r="F13" i="1"/>
  <c r="E13" i="1"/>
  <c r="D13" i="1"/>
  <c r="J16" i="1"/>
  <c r="K16" i="1"/>
  <c r="F16" i="1"/>
  <c r="E16" i="1"/>
  <c r="D16" i="1"/>
  <c r="K15" i="1"/>
  <c r="F15" i="1"/>
  <c r="E15" i="1"/>
  <c r="D15" i="1"/>
  <c r="K18" i="1"/>
  <c r="J18" i="1"/>
  <c r="F18" i="1"/>
  <c r="E18" i="1"/>
  <c r="D18" i="1"/>
  <c r="J17" i="1"/>
  <c r="K17" i="1"/>
  <c r="F17" i="1"/>
  <c r="E17" i="1"/>
  <c r="D17" i="1"/>
  <c r="L39" i="1"/>
  <c r="C39" i="1"/>
  <c r="L22" i="1"/>
  <c r="C22" i="1"/>
  <c r="F21" i="1"/>
  <c r="F20" i="1"/>
  <c r="F19" i="1"/>
  <c r="K19" i="1" s="1"/>
  <c r="F10" i="1"/>
  <c r="E10" i="1"/>
  <c r="D10" i="1"/>
  <c r="F101" i="1"/>
  <c r="F100" i="1"/>
  <c r="F99" i="1"/>
  <c r="F98" i="1"/>
  <c r="F97" i="1"/>
  <c r="F96" i="1"/>
  <c r="F95" i="1"/>
  <c r="F94" i="1"/>
  <c r="F91" i="1"/>
  <c r="F41" i="1"/>
  <c r="F40" i="1"/>
  <c r="E101" i="1"/>
  <c r="E100" i="1"/>
  <c r="E99" i="1"/>
  <c r="E98" i="1"/>
  <c r="E97" i="1"/>
  <c r="E96" i="1"/>
  <c r="E95" i="1"/>
  <c r="E94" i="1"/>
  <c r="E91" i="1"/>
  <c r="E41" i="1"/>
  <c r="E40" i="1"/>
  <c r="L106" i="1" l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J10" i="1"/>
  <c r="J11" i="1"/>
  <c r="J13" i="1"/>
  <c r="E106" i="1" s="1"/>
  <c r="J15" i="1"/>
  <c r="I39" i="1"/>
  <c r="D19" i="1"/>
  <c r="J19" i="1"/>
  <c r="E19" i="1"/>
  <c r="K10" i="1"/>
  <c r="L92" i="1"/>
  <c r="L93" i="1" s="1"/>
  <c r="C102" i="1"/>
  <c r="D101" i="1"/>
  <c r="D100" i="1"/>
  <c r="D99" i="1"/>
  <c r="D98" i="1"/>
  <c r="D97" i="1"/>
  <c r="L96" i="1"/>
  <c r="D96" i="1"/>
  <c r="D95" i="1"/>
  <c r="D94" i="1"/>
  <c r="D91" i="1"/>
  <c r="D41" i="1"/>
  <c r="D40" i="1"/>
  <c r="I92" i="1" l="1"/>
  <c r="C92" i="1"/>
  <c r="C93" i="1" s="1"/>
  <c r="C103" i="1" s="1"/>
  <c r="C3" i="1" s="1"/>
  <c r="I109" i="1" s="1"/>
  <c r="J39" i="1"/>
  <c r="K39" i="1"/>
  <c r="E20" i="1"/>
  <c r="L94" i="1"/>
  <c r="L102" i="1" s="1"/>
  <c r="K99" i="1"/>
  <c r="J99" i="1"/>
  <c r="J41" i="1"/>
  <c r="E112" i="1" s="1"/>
  <c r="K41" i="1"/>
  <c r="J95" i="1"/>
  <c r="G123" i="1" s="1"/>
  <c r="K95" i="1"/>
  <c r="J96" i="1"/>
  <c r="K96" i="1"/>
  <c r="J97" i="1"/>
  <c r="E120" i="1" s="1"/>
  <c r="K97" i="1"/>
  <c r="J98" i="1"/>
  <c r="G122" i="1" s="1"/>
  <c r="K98" i="1"/>
  <c r="J100" i="1"/>
  <c r="K100" i="1"/>
  <c r="J40" i="1"/>
  <c r="E110" i="1" s="1"/>
  <c r="K40" i="1"/>
  <c r="K91" i="1"/>
  <c r="J91" i="1"/>
  <c r="J94" i="1"/>
  <c r="K94" i="1"/>
  <c r="J101" i="1"/>
  <c r="K101" i="1"/>
  <c r="I102" i="1"/>
  <c r="K92" i="1" l="1"/>
  <c r="J92" i="1"/>
  <c r="J105" i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I112" i="1"/>
  <c r="I116" i="1" s="1"/>
  <c r="J125" i="1" s="1"/>
  <c r="J20" i="1"/>
  <c r="G121" i="1" s="1"/>
  <c r="K20" i="1"/>
  <c r="D21" i="1"/>
  <c r="E21" i="1"/>
  <c r="A41" i="1"/>
  <c r="L103" i="1"/>
  <c r="C107" i="1" s="1"/>
  <c r="C5" i="1" s="1"/>
  <c r="J102" i="1"/>
  <c r="K102" i="1"/>
  <c r="A43" i="1" l="1"/>
  <c r="A44" i="1" s="1"/>
  <c r="A45" i="1" s="1"/>
  <c r="A46" i="1" s="1"/>
  <c r="A47" i="1" s="1"/>
  <c r="A48" i="1" s="1"/>
  <c r="A49" i="1" s="1"/>
  <c r="A50" i="1" s="1"/>
  <c r="A51" i="1" s="1"/>
  <c r="J124" i="1"/>
  <c r="M105" i="1"/>
  <c r="M125" i="1"/>
  <c r="E3" i="1"/>
  <c r="J21" i="1"/>
  <c r="E116" i="1" s="1"/>
  <c r="G125" i="1" s="1"/>
  <c r="K21" i="1"/>
  <c r="M106" i="1" l="1"/>
  <c r="M107" i="1"/>
  <c r="A53" i="1" l="1"/>
  <c r="A54" i="1" s="1"/>
  <c r="M108" i="1"/>
  <c r="I22" i="1"/>
  <c r="I93" i="1" s="1"/>
  <c r="I103" i="1" s="1"/>
  <c r="A55" i="1" l="1"/>
  <c r="A57" i="1" s="1"/>
  <c r="A58" i="1" s="1"/>
  <c r="A59" i="1" s="1"/>
  <c r="A60" i="1" s="1"/>
  <c r="A61" i="1" s="1"/>
  <c r="A62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2" i="1" s="1"/>
  <c r="A83" i="1" s="1"/>
  <c r="A84" i="1" s="1"/>
  <c r="A85" i="1" s="1"/>
  <c r="A86" i="1" s="1"/>
  <c r="A87" i="1" s="1"/>
  <c r="A88" i="1" s="1"/>
  <c r="A56" i="1"/>
  <c r="M109" i="1"/>
  <c r="J22" i="1"/>
  <c r="J93" i="1" s="1"/>
  <c r="J103" i="1" s="1"/>
  <c r="K22" i="1"/>
  <c r="K93" i="1" s="1"/>
  <c r="K103" i="1" s="1"/>
  <c r="C106" i="1" s="1"/>
  <c r="A90" i="1" l="1"/>
  <c r="A89" i="1"/>
  <c r="A91" i="1" s="1"/>
  <c r="M110" i="1"/>
  <c r="M111" i="1"/>
  <c r="C109" i="1"/>
  <c r="C4" i="1"/>
  <c r="C108" i="1"/>
  <c r="A94" i="1" l="1"/>
  <c r="A95" i="1" s="1"/>
  <c r="A96" i="1" s="1"/>
  <c r="A97" i="1" s="1"/>
  <c r="A98" i="1" s="1"/>
  <c r="A99" i="1" s="1"/>
  <c r="A100" i="1" s="1"/>
  <c r="A101" i="1" s="1"/>
  <c r="M112" i="1"/>
  <c r="C111" i="1"/>
  <c r="I113" i="1" s="1"/>
  <c r="E4" i="1"/>
  <c r="K5" i="1"/>
  <c r="I5" i="1"/>
  <c r="M113" i="1" l="1"/>
  <c r="G4" i="1"/>
  <c r="M114" i="1" l="1"/>
  <c r="I114" i="1"/>
  <c r="I115" i="1" s="1"/>
  <c r="G3" i="1"/>
  <c r="G5" i="1" s="1"/>
  <c r="M115" i="1" l="1"/>
  <c r="M116" i="1" l="1"/>
  <c r="M117" i="1" l="1"/>
  <c r="M118" i="1" l="1"/>
  <c r="M119" i="1" l="1"/>
  <c r="M120" i="1" l="1"/>
  <c r="M121" i="1" l="1"/>
  <c r="M122" i="1" l="1"/>
  <c r="K124" i="1" l="1"/>
  <c r="K126" i="1" s="1"/>
  <c r="M123" i="1"/>
  <c r="L124" i="1" l="1"/>
  <c r="L125" i="1" s="1"/>
  <c r="C102" i="2"/>
  <c r="C3" i="2" s="1"/>
  <c r="E3" i="2" s="1"/>
  <c r="I109" i="2" l="1"/>
  <c r="J105" i="2" l="1"/>
  <c r="I112" i="2"/>
  <c r="J106" i="2" l="1"/>
  <c r="M105" i="2"/>
  <c r="I116" i="2"/>
  <c r="J125" i="2" s="1"/>
  <c r="M106" i="2" l="1"/>
  <c r="J107" i="2"/>
  <c r="M125" i="2"/>
  <c r="M107" i="2" l="1"/>
  <c r="J108" i="2"/>
  <c r="J109" i="2" l="1"/>
  <c r="M108" i="2"/>
  <c r="J110" i="2" l="1"/>
  <c r="M109" i="2"/>
  <c r="M110" i="2" l="1"/>
  <c r="J111" i="2"/>
  <c r="J112" i="2" l="1"/>
  <c r="M111" i="2"/>
  <c r="J113" i="2" l="1"/>
  <c r="M112" i="2"/>
  <c r="M113" i="2" l="1"/>
  <c r="J114" i="2"/>
  <c r="J115" i="2" l="1"/>
  <c r="M114" i="2"/>
  <c r="J116" i="2" l="1"/>
  <c r="M115" i="2"/>
  <c r="M116" i="2" l="1"/>
  <c r="J117" i="2"/>
  <c r="M117" i="2" l="1"/>
  <c r="J118" i="2"/>
  <c r="J119" i="2" l="1"/>
  <c r="M118" i="2"/>
  <c r="J120" i="2" l="1"/>
  <c r="M119" i="2"/>
  <c r="J121" i="2" l="1"/>
  <c r="M120" i="2"/>
  <c r="M121" i="2" l="1"/>
  <c r="J122" i="2"/>
  <c r="M122" i="2" l="1"/>
  <c r="J123" i="2"/>
  <c r="M123" i="2" l="1"/>
  <c r="J124" i="2"/>
  <c r="K124" i="2" s="1"/>
  <c r="L124" i="2" l="1"/>
  <c r="L125" i="2" s="1"/>
  <c r="K126" i="2"/>
  <c r="I102" i="2"/>
  <c r="J102" i="2"/>
  <c r="K102" i="2"/>
  <c r="C106" i="2" s="1"/>
  <c r="C109" i="2" l="1"/>
  <c r="C108" i="2"/>
  <c r="C4" i="2"/>
  <c r="E4" i="2" l="1"/>
  <c r="A58" i="2"/>
  <c r="A64" i="2" s="1"/>
  <c r="A59" i="2" l="1"/>
  <c r="A60" i="2" s="1"/>
  <c r="A61" i="2" s="1"/>
  <c r="A62" i="2" s="1"/>
  <c r="A63" i="2" s="1"/>
  <c r="A65" i="2" s="1"/>
  <c r="A66" i="2" s="1"/>
  <c r="A67" i="2" s="1"/>
  <c r="A68" i="2" s="1"/>
  <c r="A69" i="2" s="1"/>
  <c r="A70" i="2" s="1"/>
  <c r="A71" i="2" s="1"/>
  <c r="A72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3" i="2" s="1"/>
  <c r="A94" i="2" s="1"/>
  <c r="A95" i="2" s="1"/>
  <c r="A96" i="2" s="1"/>
  <c r="A97" i="2" s="1"/>
  <c r="A98" i="2" s="1"/>
  <c r="A99" i="2" s="1"/>
  <c r="A100" i="2" s="1"/>
  <c r="A73" i="2" l="1"/>
  <c r="I115" i="2"/>
  <c r="I113" i="2"/>
  <c r="I5" i="2"/>
  <c r="C5" i="2"/>
  <c r="K5" i="2"/>
  <c r="G5" i="2"/>
  <c r="L57" i="2"/>
  <c r="L92" i="2"/>
  <c r="L102" i="2"/>
  <c r="C107" i="2"/>
  <c r="C111" i="2"/>
  <c r="G4" i="2"/>
</calcChain>
</file>

<file path=xl/sharedStrings.xml><?xml version="1.0" encoding="utf-8"?>
<sst xmlns="http://schemas.openxmlformats.org/spreadsheetml/2006/main" count="548" uniqueCount="256">
  <si>
    <t xml:space="preserve">STYLE # </t>
  </si>
  <si>
    <t>WORK MIN</t>
  </si>
  <si>
    <t>Date</t>
  </si>
  <si>
    <t>TTL SMV</t>
  </si>
  <si>
    <t>B/TARGET</t>
  </si>
  <si>
    <t>L/TARGET</t>
  </si>
  <si>
    <t>OPERATOR</t>
  </si>
  <si>
    <t>EFFICIENCY</t>
  </si>
  <si>
    <t>HELPER</t>
  </si>
  <si>
    <t>B/ PCS/HEAD</t>
  </si>
  <si>
    <t>L/PCS/HEAD</t>
  </si>
  <si>
    <t>SL</t>
  </si>
  <si>
    <t>OPERATION</t>
  </si>
  <si>
    <t>TIME IN</t>
  </si>
  <si>
    <t>TGT/HR</t>
  </si>
  <si>
    <t xml:space="preserve">PLAN </t>
  </si>
  <si>
    <t>MACHINE</t>
  </si>
  <si>
    <t>WORK AIDS</t>
  </si>
  <si>
    <t>REQ MP</t>
  </si>
  <si>
    <t>ALLOTED</t>
  </si>
  <si>
    <t>REMARKS</t>
  </si>
  <si>
    <t>MIN</t>
  </si>
  <si>
    <t>SEC</t>
  </si>
  <si>
    <t>FOLDER/
ATTACHMENT</t>
  </si>
  <si>
    <t>(CAL)</t>
  </si>
  <si>
    <t>WP</t>
  </si>
  <si>
    <t>DIRECT</t>
  </si>
  <si>
    <t>INDIRECT</t>
  </si>
  <si>
    <t>IRON TABLE</t>
  </si>
  <si>
    <t>DNLS</t>
  </si>
  <si>
    <t>SNLS</t>
  </si>
  <si>
    <t>OL3T</t>
  </si>
  <si>
    <t>OL5T</t>
  </si>
  <si>
    <t>TABLE</t>
  </si>
  <si>
    <t>BH</t>
  </si>
  <si>
    <t>BRTK</t>
  </si>
  <si>
    <t>TRIM AND INLINE CHECK</t>
  </si>
  <si>
    <t>FINISHING</t>
  </si>
  <si>
    <t>QUALITY CHECKER</t>
  </si>
  <si>
    <t>IRONING GARMENT + W/BAND</t>
  </si>
  <si>
    <t>SPEC &amp; PRESENTATION QC</t>
  </si>
  <si>
    <t>MATCHBOOK</t>
  </si>
  <si>
    <t>BA</t>
  </si>
  <si>
    <t>HANGTAG</t>
  </si>
  <si>
    <t>TAG GUN</t>
  </si>
  <si>
    <t>FOLDING + POLYBAG</t>
  </si>
  <si>
    <t xml:space="preserve">SKU </t>
  </si>
  <si>
    <t>CTN</t>
  </si>
  <si>
    <t>BULLETIN SUMMARY</t>
  </si>
  <si>
    <t>M/C TYPE</t>
  </si>
  <si>
    <t>REQ QTY</t>
  </si>
  <si>
    <t>OPERATORS</t>
  </si>
  <si>
    <t>HELPERS</t>
  </si>
  <si>
    <t>SNEC</t>
  </si>
  <si>
    <t>APW</t>
  </si>
  <si>
    <t>ROVING QC</t>
  </si>
  <si>
    <t>TOTAL</t>
  </si>
  <si>
    <t>FL4T-FB</t>
  </si>
  <si>
    <t>FL4T-CB</t>
  </si>
  <si>
    <t>FL5T-FB</t>
  </si>
  <si>
    <t>FL5T-CB</t>
  </si>
  <si>
    <t>KANSAI</t>
  </si>
  <si>
    <t>SNAP</t>
  </si>
  <si>
    <t>FOA</t>
  </si>
  <si>
    <t>SNCS</t>
  </si>
  <si>
    <t>DNCS</t>
  </si>
  <si>
    <t>KEYHOLE</t>
  </si>
  <si>
    <t>100% Budget</t>
  </si>
  <si>
    <t>Variation</t>
  </si>
  <si>
    <t>SUPERVISOR</t>
  </si>
  <si>
    <t>FL2T-FB</t>
  </si>
  <si>
    <t>FL3T-FB</t>
  </si>
  <si>
    <t>OL4T</t>
  </si>
  <si>
    <t>FL6T-FB</t>
  </si>
  <si>
    <t>FL2T-CB</t>
  </si>
  <si>
    <t>FL3T-CB</t>
  </si>
  <si>
    <t>FL6T-CB</t>
  </si>
  <si>
    <t>BLIND LOOP</t>
  </si>
  <si>
    <t>FLAT LOOP</t>
  </si>
  <si>
    <t>KANSAI LOOP</t>
  </si>
  <si>
    <t>HEAT SEAL</t>
  </si>
  <si>
    <t>AUTO LOOP</t>
  </si>
  <si>
    <t>FS</t>
  </si>
  <si>
    <t>BLIND HEM</t>
  </si>
  <si>
    <t>TOTAL REQUIRED MACHINE</t>
  </si>
  <si>
    <t>REVENUE</t>
  </si>
  <si>
    <t>LINE COST</t>
  </si>
  <si>
    <t>PROFIT/LOSS</t>
  </si>
  <si>
    <t>FRONT</t>
  </si>
  <si>
    <t>ASSEMBLY</t>
  </si>
  <si>
    <t>BACK</t>
  </si>
  <si>
    <t>CM</t>
  </si>
  <si>
    <t>OQ</t>
  </si>
  <si>
    <t>PICK UP DAY</t>
  </si>
  <si>
    <t>DATE OF START</t>
  </si>
  <si>
    <t>Days in 100%</t>
  </si>
  <si>
    <t>Days Req/OQ</t>
  </si>
  <si>
    <t>Eff %/OQ</t>
  </si>
  <si>
    <t>No of Line</t>
  </si>
  <si>
    <t>Line Cost</t>
  </si>
  <si>
    <t>Revenue</t>
  </si>
  <si>
    <t>Profit/Loss</t>
  </si>
  <si>
    <t>BUNDLING+REPACK+AUDITOR</t>
  </si>
  <si>
    <t>DATE OF END</t>
  </si>
  <si>
    <t>Build Up</t>
  </si>
  <si>
    <t>Balance</t>
  </si>
  <si>
    <t>Day Actual</t>
  </si>
  <si>
    <t>FUSE BACK POCKET FOR ZIPPER</t>
  </si>
  <si>
    <t>CUT FOR ZIPPER</t>
  </si>
  <si>
    <t>ATTACH ZIPPER</t>
  </si>
  <si>
    <t>TOP STITCH POCKET MOUTH</t>
  </si>
  <si>
    <t>SERGE POCKET BAG</t>
  </si>
  <si>
    <t>CREASE POCKET BAG</t>
  </si>
  <si>
    <t>MARK FOR POCKET</t>
  </si>
  <si>
    <t>ATTACH POCKET PATCH</t>
  </si>
  <si>
    <t>JOIN BACK RISE</t>
  </si>
  <si>
    <t>TOP STITCH BACK RISE</t>
  </si>
  <si>
    <t>INSERT ZIPPER PULLER &amp; TACK</t>
  </si>
  <si>
    <t>CUT PULLER CORD</t>
  </si>
  <si>
    <t>CREASE POCKET BAG FACING</t>
  </si>
  <si>
    <t>ATTACH FACING TO POCKET BAG</t>
  </si>
  <si>
    <t>ATTACH POCKET BAG TO FRONT</t>
  </si>
  <si>
    <t>SHADOW STITCH/OL POCKET MOUTH</t>
  </si>
  <si>
    <t>OR OL</t>
  </si>
  <si>
    <t>CLOSE POCKET BAG</t>
  </si>
  <si>
    <t>TURN &amp; TOP STITCH POCKET BAG</t>
  </si>
  <si>
    <t>POCKET BAG SIDE WAIST TACK</t>
  </si>
  <si>
    <t>FUSE SINGLE &amp; DOUBLE FLY</t>
  </si>
  <si>
    <t>RUN STITCH DOUBLE FLY &amp; TURN</t>
  </si>
  <si>
    <t>SERGE FRONT, SINGLE &amp; DOBLE FLY FOR ZIPPER</t>
  </si>
  <si>
    <t>ATTACH &amp; SHADOW STITCH SINGLE FLY</t>
  </si>
  <si>
    <t>ATTACH ZIPPER TO SINGLE FLY &amp; J STITCH</t>
  </si>
  <si>
    <t>ATT DOUBLE FLY TO ZIPPER &amp; ATT TO LEFT</t>
  </si>
  <si>
    <t>JOIN FRONT RISE &amp; TOP STITCH</t>
  </si>
  <si>
    <t>BARTACK @ FRONT, BACK POCKET &amp; J-STITCH*10</t>
  </si>
  <si>
    <t>SIDE SEAM</t>
  </si>
  <si>
    <t>SIDE SEAM TOP STITCH</t>
  </si>
  <si>
    <t>CARGO 1</t>
  </si>
  <si>
    <t>CUTFOR ZIPPER</t>
  </si>
  <si>
    <t>ATTACH POCKET BAG</t>
  </si>
  <si>
    <t>INSERT PULLER CORD</t>
  </si>
  <si>
    <t>BARTACK POCKET*2</t>
  </si>
  <si>
    <t>CARGO 2</t>
  </si>
  <si>
    <t>FUSE FLAP &amp; CREASE POCKET BAG</t>
  </si>
  <si>
    <t>HEM POCKET</t>
  </si>
  <si>
    <t>CUT &amp; ATTACH VELCRO TO FLAP  &amp;POCKET*2</t>
  </si>
  <si>
    <t>RUN STITCH FLAP &amp; TURN</t>
  </si>
  <si>
    <t>TOP STITCH FLAP</t>
  </si>
  <si>
    <t>ATTACH &amp; TOP STITCH FLAP</t>
  </si>
  <si>
    <t>BARTACK @ POCKET*4</t>
  </si>
  <si>
    <t>INSEAM</t>
  </si>
  <si>
    <t>FUSE WAISTBAND &amp; CREASE</t>
  </si>
  <si>
    <t>FUSING</t>
  </si>
  <si>
    <t>RUN STITCH WB</t>
  </si>
  <si>
    <t>OPTIONAL</t>
  </si>
  <si>
    <t>CUT ELASTIC</t>
  </si>
  <si>
    <t>CREASE ELASTIC ENDS PATCH</t>
  </si>
  <si>
    <t>ATTACH WB</t>
  </si>
  <si>
    <t>TRIM &amp; MOUTH CLOSE</t>
  </si>
  <si>
    <t>MAKE BELT LOOP READY</t>
  </si>
  <si>
    <t>ATTACH BELT LOOP</t>
  </si>
  <si>
    <t>MAKE KEY HOLE</t>
  </si>
  <si>
    <t>KEY HOLE</t>
  </si>
  <si>
    <t>ATTACH BUTTON</t>
  </si>
  <si>
    <t>FUSE FOR ZIPPER &amp; CREASE POCKET BAG FACING</t>
  </si>
  <si>
    <t>ATTACH POCKET BAG &amp; LOWER ENTRY</t>
  </si>
  <si>
    <t>TACK INNER POCKET BAG &amp; UPPER ENTRY</t>
  </si>
  <si>
    <t>TACK LABEL</t>
  </si>
  <si>
    <t>ATTACH PATCH TO ELASTIC ENDS</t>
  </si>
  <si>
    <t>SERGE BOTTOM</t>
  </si>
  <si>
    <t>ATTACH KNEE ZIPPER</t>
  </si>
  <si>
    <t>HEM TOP BODY</t>
  </si>
  <si>
    <t>MARK FOR KNEE ZIPPER</t>
  </si>
  <si>
    <t>TACK KNEE ZIPPER</t>
  </si>
  <si>
    <t>BOTTOM BODY</t>
  </si>
  <si>
    <t>BOTTOM HEM</t>
  </si>
  <si>
    <t>SERGE BOTTOM BODY TOP</t>
  </si>
  <si>
    <t>JOIN TOP &amp; BOTTOM (ZIPPER JOIN)</t>
  </si>
  <si>
    <t>HEM BOTTOM BODY TOP</t>
  </si>
  <si>
    <t>A84SB</t>
  </si>
  <si>
    <t>Cargo Pant</t>
  </si>
  <si>
    <t>FL3TFB</t>
  </si>
  <si>
    <t>JOIN FRONT RISE</t>
  </si>
  <si>
    <t>TOP STITCH CROCH</t>
  </si>
  <si>
    <t>ECUT</t>
  </si>
  <si>
    <t>JOIN WAIST BAND</t>
  </si>
  <si>
    <t>MAKE ELASTIC RING</t>
  </si>
  <si>
    <t>AUTO</t>
  </si>
  <si>
    <t>BASTE FRONT &amp; BACK AT POCKET EREA</t>
  </si>
  <si>
    <t>CLOSE SIDE SEAM BY SNLS</t>
  </si>
  <si>
    <t>CLOSE INSEAM</t>
  </si>
  <si>
    <t>ATTACH WAIST BAND</t>
  </si>
  <si>
    <t>ATTACH ELASTIC TO WAIST BAND</t>
  </si>
  <si>
    <t>CLOSE WAIST BAND</t>
  </si>
  <si>
    <t>SEW BOTTOM HEM</t>
  </si>
  <si>
    <t>INSERT DRAW CORG</t>
  </si>
  <si>
    <t>A2U06</t>
  </si>
  <si>
    <t>Gathering Pant</t>
  </si>
  <si>
    <t>JOIN BACK PANEL</t>
  </si>
  <si>
    <t>TOP STITCH ON BACK PANEL JOIN SEAM</t>
  </si>
  <si>
    <t>FL5TFB</t>
  </si>
  <si>
    <t>ATTACH BACK YOKE</t>
  </si>
  <si>
    <t>TOP STITCH BACK YOKE</t>
  </si>
  <si>
    <t>FUSE POCKET FACING</t>
  </si>
  <si>
    <t>FOLD &amp; PRESS POCKET FACING &amp; MARK EDGE</t>
  </si>
  <si>
    <t>ATTACH FACING TO POCKET MOUTH</t>
  </si>
  <si>
    <t>OVERLOCK POCKET ATTACH SEAM</t>
  </si>
  <si>
    <t>SHADOW STITCH POCKET MOUTH</t>
  </si>
  <si>
    <t>PRESS POCKET MOUTH AREA</t>
  </si>
  <si>
    <t>ZIPPER POCKET FACING ATTACH TO POCKET BAG</t>
  </si>
  <si>
    <t>OVERLOCK FACING &amp; POCKET BAG ATTACH SEAM</t>
  </si>
  <si>
    <t>TOP STITCH ON FACING &amp; POCKET BAG ATTACH</t>
  </si>
  <si>
    <t>PRE OVERLOCK ZIPPER POCKET MOUTH</t>
  </si>
  <si>
    <t>MAKE ZIPPER POCKET OPEN</t>
  </si>
  <si>
    <t>ATTACH ZIPPER TO POCKET</t>
  </si>
  <si>
    <t>BT ON ZIPPER MOUTH</t>
  </si>
  <si>
    <t>BASTE ZIPPER POCKET BAG &amp; TOP POCKET BAG</t>
  </si>
  <si>
    <t>TACK POCKET TOP &amp; SIDE</t>
  </si>
  <si>
    <t>BASETE POCKET &amp; POCKET BAG</t>
  </si>
  <si>
    <t>MARK POCKET SHAPE FOR EXCESS CUT</t>
  </si>
  <si>
    <t>TRIM POCKET EXCESS</t>
  </si>
  <si>
    <t>FREE OL FLY FACING</t>
  </si>
  <si>
    <t>ATTACH FLY FACING TO FRONT</t>
  </si>
  <si>
    <t>MARK AND J STITCH</t>
  </si>
  <si>
    <t>TOP STICH FRONT RISE</t>
  </si>
  <si>
    <t>MARK &amp; FRONT DEV STITCH</t>
  </si>
  <si>
    <t>BT ON CROCH</t>
  </si>
  <si>
    <t>JOIN FRONT PANEL</t>
  </si>
  <si>
    <t>TOP STITCH FRONT PANEL JOIN SEAM</t>
  </si>
  <si>
    <t>ATTACH POCKET PANEL</t>
  </si>
  <si>
    <t>OVERLOCK POCKET PANEL ATTACH SEAM</t>
  </si>
  <si>
    <t>PRESS POCKET ATTACH SEAM</t>
  </si>
  <si>
    <t>TOP STITCH POCKET ATTACH SEAM</t>
  </si>
  <si>
    <t>TOP STITCH SIDE SEAM</t>
  </si>
  <si>
    <t>TOP STITCH INSEAM</t>
  </si>
  <si>
    <t>FUSE WAIST BAND FOR BH</t>
  </si>
  <si>
    <t>SEW BUTTON HOLE</t>
  </si>
  <si>
    <t>FOLD &amp; PRESS WAIST BAND EDGE</t>
  </si>
  <si>
    <t>OPEN &amp; PRESS JOIN SEAM</t>
  </si>
  <si>
    <t>FOLD &amp; REMOVABLE STITCH ON WAIST BAND EDGE</t>
  </si>
  <si>
    <t>FL2TFB</t>
  </si>
  <si>
    <t>FL4THFB</t>
  </si>
  <si>
    <t>FOLD &amp; VERTICAL TACK*6</t>
  </si>
  <si>
    <t>TOP STITCH WAIST BAND</t>
  </si>
  <si>
    <t>OVERLCK WAIST BAND ATTACH SEAM</t>
  </si>
  <si>
    <t>REMOVE VERTICAL THREAD</t>
  </si>
  <si>
    <t>MANUAL</t>
  </si>
  <si>
    <t>FREE OL BOTOM HEM</t>
  </si>
  <si>
    <t>FUSE LEG BH PLACEMENT</t>
  </si>
  <si>
    <t>SEW LEG BUTTON HOLE</t>
  </si>
  <si>
    <t>MEASURE &amp; CUT LEG ELASTIC</t>
  </si>
  <si>
    <t>INSERT LEG ELASTIC</t>
  </si>
  <si>
    <t>JOIN LEG ELASTIC*2</t>
  </si>
  <si>
    <t>TACK LEG ELASTIC TO SIDE SEAM</t>
  </si>
  <si>
    <t>BT ON FRONT POCKET &amp; ZIPPER POCKET , CROTCH</t>
  </si>
  <si>
    <t>EOL-TB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</si>
</sst>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_-[$$-409]* #,##0.00_ ;_-[$$-409]* \-#,##0.00\ ;_-[$$-409]* &quot;-&quot;??_ ;_-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1"/>
      <color indexed="52"/>
      <name val="Calibri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u/>
      <sz val="7"/>
      <color theme="10"/>
      <name val="Arial"/>
      <family val="2"/>
    </font>
    <font>
      <u/>
      <sz val="10"/>
      <color indexed="12"/>
      <name val="Arial"/>
      <family val="2"/>
    </font>
    <font>
      <u/>
      <sz val="9.25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b/>
      <sz val="18"/>
      <color indexed="56"/>
      <name val="Cambria"/>
      <family val="2"/>
      <scheme val="major"/>
    </font>
    <font>
      <b/>
      <sz val="11"/>
      <color indexed="8"/>
      <name val="Calibri"/>
      <family val="2"/>
    </font>
    <font>
      <b/>
      <sz val="14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</patternFill>
    </fill>
    <fill>
      <patternFill patternType="solid">
        <fgColor indexed="26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40">
    <xf numFmtId="0" fontId="0" fillId="0" borderId="0"/>
    <xf numFmtId="0" fontId="5" fillId="0" borderId="0"/>
    <xf numFmtId="0" fontId="5" fillId="0" borderId="0">
      <alignment vertical="top"/>
    </xf>
    <xf numFmtId="0" fontId="5" fillId="0" borderId="0"/>
    <xf numFmtId="9" fontId="5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0" borderId="0" applyNumberFormat="0" applyBorder="0" applyAlignment="0" applyProtection="0"/>
    <xf numFmtId="0" fontId="4" fillId="26" borderId="0" applyNumberFormat="0" applyBorder="0" applyAlignment="0" applyProtection="0"/>
    <xf numFmtId="0" fontId="3" fillId="11" borderId="0" applyNumberFormat="0" applyBorder="0" applyAlignment="0" applyProtection="0"/>
    <xf numFmtId="0" fontId="9" fillId="14" borderId="25" applyNumberFormat="0" applyAlignment="0" applyProtection="0"/>
    <xf numFmtId="0" fontId="9" fillId="14" borderId="25" applyNumberFormat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12" borderId="0" applyNumberFormat="0" applyBorder="0" applyAlignment="0" applyProtection="0"/>
    <xf numFmtId="0" fontId="11" fillId="0" borderId="26" applyNumberFormat="0" applyFill="0" applyAlignment="0" applyProtection="0"/>
    <xf numFmtId="0" fontId="12" fillId="0" borderId="27" applyNumberFormat="0" applyFill="0" applyAlignment="0" applyProtection="0"/>
    <xf numFmtId="0" fontId="13" fillId="0" borderId="28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7" fillId="27" borderId="25" applyNumberFormat="0" applyAlignment="0" applyProtection="0"/>
    <xf numFmtId="0" fontId="17" fillId="27" borderId="25" applyNumberFormat="0" applyAlignment="0" applyProtection="0"/>
    <xf numFmtId="0" fontId="18" fillId="0" borderId="29" applyNumberFormat="0" applyFill="0" applyAlignment="0" applyProtection="0"/>
    <xf numFmtId="0" fontId="19" fillId="2" borderId="0" applyNumberFormat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1" fillId="0" borderId="0"/>
    <xf numFmtId="0" fontId="5" fillId="0" borderId="0">
      <alignment vertical="top"/>
    </xf>
    <xf numFmtId="0" fontId="1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>
      <protection locked="0"/>
    </xf>
    <xf numFmtId="0" fontId="5" fillId="0" borderId="0"/>
    <xf numFmtId="0" fontId="5" fillId="0" borderId="0"/>
    <xf numFmtId="0" fontId="5" fillId="0" borderId="0">
      <protection locked="0"/>
    </xf>
    <xf numFmtId="0" fontId="5" fillId="0" borderId="0">
      <alignment vertical="top"/>
    </xf>
    <xf numFmtId="0" fontId="5" fillId="0" borderId="0"/>
    <xf numFmtId="0" fontId="5" fillId="0" borderId="0"/>
    <xf numFmtId="0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5" fillId="0" borderId="0">
      <alignment vertical="top"/>
    </xf>
    <xf numFmtId="0" fontId="5" fillId="0" borderId="0"/>
    <xf numFmtId="0" fontId="5" fillId="0" borderId="0">
      <alignment vertical="top"/>
    </xf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5" fillId="28" borderId="30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5" fillId="28" borderId="30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10" fillId="3" borderId="1" applyNumberFormat="0" applyFont="0" applyAlignment="0" applyProtection="0"/>
    <xf numFmtId="0" fontId="20" fillId="14" borderId="31" applyNumberFormat="0" applyAlignment="0" applyProtection="0"/>
    <xf numFmtId="0" fontId="20" fillId="14" borderId="31" applyNumberFormat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2" fillId="0" borderId="0" applyNumberFormat="0" applyFill="0" applyBorder="0" applyAlignment="0" applyProtection="0"/>
    <xf numFmtId="0" fontId="23" fillId="0" borderId="32" applyNumberFormat="0" applyFill="0" applyAlignment="0" applyProtection="0"/>
    <xf numFmtId="0" fontId="23" fillId="0" borderId="32" applyNumberFormat="0" applyFill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4" borderId="3" xfId="1" applyFont="1" applyFill="1" applyBorder="1" applyAlignment="1">
      <alignment vertical="center"/>
    </xf>
    <xf numFmtId="0" fontId="6" fillId="4" borderId="3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left" vertical="center" wrapText="1"/>
    </xf>
    <xf numFmtId="0" fontId="7" fillId="4" borderId="3" xfId="1" applyFont="1" applyFill="1" applyBorder="1" applyAlignment="1">
      <alignment horizontal="center" vertical="center"/>
    </xf>
    <xf numFmtId="2" fontId="7" fillId="4" borderId="3" xfId="1" applyNumberFormat="1" applyFont="1" applyFill="1" applyBorder="1" applyAlignment="1">
      <alignment horizontal="center" vertical="center"/>
    </xf>
    <xf numFmtId="14" fontId="7" fillId="4" borderId="3" xfId="1" applyNumberFormat="1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left" vertical="center"/>
    </xf>
    <xf numFmtId="1" fontId="7" fillId="4" borderId="3" xfId="1" applyNumberFormat="1" applyFont="1" applyFill="1" applyBorder="1" applyAlignment="1">
      <alignment horizontal="center" vertical="center"/>
    </xf>
    <xf numFmtId="9" fontId="7" fillId="4" borderId="3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2" fontId="7" fillId="0" borderId="9" xfId="1" applyNumberFormat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1" fontId="7" fillId="0" borderId="10" xfId="1" applyNumberFormat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/>
    </xf>
    <xf numFmtId="2" fontId="7" fillId="0" borderId="11" xfId="1" applyNumberFormat="1" applyFont="1" applyBorder="1" applyAlignment="1">
      <alignment horizontal="center" vertical="center"/>
    </xf>
    <xf numFmtId="2" fontId="7" fillId="5" borderId="6" xfId="1" applyNumberFormat="1" applyFont="1" applyFill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8" fillId="0" borderId="13" xfId="2" applyFont="1" applyBorder="1" applyAlignment="1"/>
    <xf numFmtId="2" fontId="8" fillId="0" borderId="13" xfId="2" applyNumberFormat="1" applyFont="1" applyBorder="1" applyAlignment="1">
      <alignment horizontal="center"/>
    </xf>
    <xf numFmtId="1" fontId="8" fillId="6" borderId="14" xfId="2" quotePrefix="1" applyNumberFormat="1" applyFont="1" applyFill="1" applyBorder="1" applyAlignment="1">
      <alignment horizontal="center"/>
    </xf>
    <xf numFmtId="1" fontId="6" fillId="0" borderId="15" xfId="1" applyNumberFormat="1" applyFont="1" applyBorder="1" applyAlignment="1">
      <alignment horizontal="center" vertical="center"/>
    </xf>
    <xf numFmtId="1" fontId="8" fillId="6" borderId="16" xfId="2" quotePrefix="1" applyNumberFormat="1" applyFont="1" applyFill="1" applyBorder="1" applyAlignment="1">
      <alignment horizontal="center"/>
    </xf>
    <xf numFmtId="1" fontId="6" fillId="0" borderId="12" xfId="1" applyNumberFormat="1" applyFont="1" applyBorder="1" applyAlignment="1">
      <alignment horizontal="center" vertical="center"/>
    </xf>
    <xf numFmtId="2" fontId="6" fillId="0" borderId="14" xfId="1" applyNumberFormat="1" applyFont="1" applyBorder="1" applyAlignment="1">
      <alignment horizontal="center"/>
    </xf>
    <xf numFmtId="2" fontId="6" fillId="0" borderId="12" xfId="1" applyNumberFormat="1" applyFont="1" applyBorder="1" applyAlignment="1">
      <alignment horizontal="center" vertical="center"/>
    </xf>
    <xf numFmtId="2" fontId="6" fillId="0" borderId="14" xfId="3" applyNumberFormat="1" applyFont="1" applyBorder="1" applyAlignment="1">
      <alignment horizontal="center" vertical="center"/>
    </xf>
    <xf numFmtId="2" fontId="6" fillId="0" borderId="17" xfId="1" applyNumberFormat="1" applyFont="1" applyBorder="1" applyAlignment="1">
      <alignment horizontal="center" vertical="center"/>
    </xf>
    <xf numFmtId="2" fontId="6" fillId="0" borderId="18" xfId="1" applyNumberFormat="1" applyFont="1" applyBorder="1" applyAlignment="1">
      <alignment horizontal="center" vertical="center"/>
    </xf>
    <xf numFmtId="0" fontId="8" fillId="0" borderId="14" xfId="2" applyFont="1" applyBorder="1" applyAlignment="1"/>
    <xf numFmtId="2" fontId="8" fillId="0" borderId="14" xfId="2" applyNumberFormat="1" applyFont="1" applyBorder="1" applyAlignment="1">
      <alignment horizontal="center"/>
    </xf>
    <xf numFmtId="1" fontId="8" fillId="0" borderId="14" xfId="2" quotePrefix="1" applyNumberFormat="1" applyFont="1" applyBorder="1" applyAlignment="1">
      <alignment horizontal="center"/>
    </xf>
    <xf numFmtId="1" fontId="6" fillId="6" borderId="16" xfId="1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/>
    </xf>
    <xf numFmtId="2" fontId="8" fillId="6" borderId="14" xfId="3" applyNumberFormat="1" applyFont="1" applyFill="1" applyBorder="1" applyAlignment="1">
      <alignment horizontal="center"/>
    </xf>
    <xf numFmtId="1" fontId="6" fillId="6" borderId="14" xfId="1" applyNumberFormat="1" applyFont="1" applyFill="1" applyBorder="1" applyAlignment="1">
      <alignment horizontal="center" vertical="center"/>
    </xf>
    <xf numFmtId="2" fontId="7" fillId="5" borderId="5" xfId="1" applyNumberFormat="1" applyFont="1" applyFill="1" applyBorder="1" applyAlignment="1">
      <alignment vertical="center"/>
    </xf>
    <xf numFmtId="0" fontId="8" fillId="6" borderId="14" xfId="3" applyFont="1" applyFill="1" applyBorder="1"/>
    <xf numFmtId="1" fontId="6" fillId="0" borderId="19" xfId="1" applyNumberFormat="1" applyFont="1" applyBorder="1" applyAlignment="1">
      <alignment vertical="center"/>
    </xf>
    <xf numFmtId="0" fontId="7" fillId="7" borderId="3" xfId="1" applyFont="1" applyFill="1" applyBorder="1" applyAlignment="1">
      <alignment horizontal="center" vertical="center"/>
    </xf>
    <xf numFmtId="2" fontId="7" fillId="7" borderId="3" xfId="1" applyNumberFormat="1" applyFont="1" applyFill="1" applyBorder="1" applyAlignment="1">
      <alignment horizontal="center" vertical="center" wrapText="1"/>
    </xf>
    <xf numFmtId="1" fontId="7" fillId="7" borderId="3" xfId="1" quotePrefix="1" applyNumberFormat="1" applyFont="1" applyFill="1" applyBorder="1" applyAlignment="1">
      <alignment horizontal="center" vertical="center"/>
    </xf>
    <xf numFmtId="2" fontId="7" fillId="7" borderId="3" xfId="1" quotePrefix="1" applyNumberFormat="1" applyFont="1" applyFill="1" applyBorder="1" applyAlignment="1">
      <alignment horizontal="center" vertical="center"/>
    </xf>
    <xf numFmtId="2" fontId="7" fillId="7" borderId="3" xfId="1" applyNumberFormat="1" applyFont="1" applyFill="1" applyBorder="1" applyAlignment="1">
      <alignment vertical="center" wrapText="1"/>
    </xf>
    <xf numFmtId="1" fontId="6" fillId="0" borderId="14" xfId="1" applyNumberFormat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2" fontId="6" fillId="0" borderId="20" xfId="1" applyNumberFormat="1" applyFont="1" applyBorder="1" applyAlignment="1">
      <alignment horizontal="center" vertical="center" wrapText="1"/>
    </xf>
    <xf numFmtId="2" fontId="6" fillId="6" borderId="14" xfId="1" applyNumberFormat="1" applyFont="1" applyFill="1" applyBorder="1" applyAlignment="1">
      <alignment vertical="center" wrapText="1"/>
    </xf>
    <xf numFmtId="0" fontId="6" fillId="0" borderId="21" xfId="1" applyFont="1" applyBorder="1" applyAlignment="1">
      <alignment horizontal="center" vertical="center"/>
    </xf>
    <xf numFmtId="2" fontId="6" fillId="0" borderId="14" xfId="1" applyNumberFormat="1" applyFont="1" applyBorder="1" applyAlignment="1">
      <alignment vertical="center" wrapText="1"/>
    </xf>
    <xf numFmtId="0" fontId="6" fillId="6" borderId="0" xfId="0" applyFont="1" applyFill="1" applyAlignment="1">
      <alignment vertical="center"/>
    </xf>
    <xf numFmtId="2" fontId="6" fillId="0" borderId="14" xfId="1" applyNumberFormat="1" applyFont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/>
    </xf>
    <xf numFmtId="0" fontId="6" fillId="8" borderId="3" xfId="1" applyFont="1" applyFill="1" applyBorder="1" applyAlignment="1">
      <alignment vertical="center"/>
    </xf>
    <xf numFmtId="2" fontId="7" fillId="8" borderId="3" xfId="1" applyNumberFormat="1" applyFont="1" applyFill="1" applyBorder="1" applyAlignment="1">
      <alignment horizontal="center" vertical="center"/>
    </xf>
    <xf numFmtId="1" fontId="6" fillId="8" borderId="3" xfId="1" quotePrefix="1" applyNumberFormat="1" applyFont="1" applyFill="1" applyBorder="1" applyAlignment="1">
      <alignment horizontal="center" vertical="center"/>
    </xf>
    <xf numFmtId="1" fontId="6" fillId="8" borderId="5" xfId="1" quotePrefix="1" applyNumberFormat="1" applyFont="1" applyFill="1" applyBorder="1" applyAlignment="1">
      <alignment horizontal="center" vertical="center"/>
    </xf>
    <xf numFmtId="0" fontId="6" fillId="8" borderId="5" xfId="1" applyFont="1" applyFill="1" applyBorder="1" applyAlignment="1">
      <alignment horizontal="center" vertical="center"/>
    </xf>
    <xf numFmtId="0" fontId="6" fillId="8" borderId="5" xfId="1" applyFont="1" applyFill="1" applyBorder="1" applyAlignment="1">
      <alignment vertical="center"/>
    </xf>
    <xf numFmtId="0" fontId="7" fillId="7" borderId="3" xfId="1" applyFont="1" applyFill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2" fontId="7" fillId="0" borderId="0" xfId="1" applyNumberFormat="1" applyFont="1" applyAlignment="1">
      <alignment horizontal="center" vertical="center" wrapText="1"/>
    </xf>
    <xf numFmtId="1" fontId="7" fillId="0" borderId="0" xfId="1" quotePrefix="1" applyNumberFormat="1" applyFont="1" applyAlignment="1">
      <alignment horizontal="center" vertical="center"/>
    </xf>
    <xf numFmtId="2" fontId="7" fillId="0" borderId="0" xfId="1" quotePrefix="1" applyNumberFormat="1" applyFont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7" fillId="0" borderId="21" xfId="1" applyFont="1" applyBorder="1" applyAlignment="1">
      <alignment vertical="center"/>
    </xf>
    <xf numFmtId="2" fontId="7" fillId="0" borderId="21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left" vertical="center"/>
    </xf>
    <xf numFmtId="166" fontId="7" fillId="0" borderId="23" xfId="1" applyNumberFormat="1" applyFont="1" applyBorder="1" applyAlignment="1">
      <alignment horizontal="center" vertical="center"/>
    </xf>
    <xf numFmtId="0" fontId="7" fillId="0" borderId="21" xfId="1" applyFont="1" applyBorder="1" applyAlignment="1">
      <alignment horizontal="left" vertical="center"/>
    </xf>
    <xf numFmtId="0" fontId="7" fillId="8" borderId="24" xfId="1" applyFont="1" applyFill="1" applyBorder="1" applyAlignment="1">
      <alignment vertical="center"/>
    </xf>
    <xf numFmtId="1" fontId="7" fillId="8" borderId="24" xfId="4" applyNumberFormat="1" applyFont="1" applyFill="1" applyBorder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0" fontId="7" fillId="0" borderId="24" xfId="1" applyFont="1" applyBorder="1" applyAlignment="1">
      <alignment horizontal="left" vertical="center"/>
    </xf>
    <xf numFmtId="166" fontId="7" fillId="0" borderId="22" xfId="1" applyNumberFormat="1" applyFont="1" applyBorder="1" applyAlignment="1">
      <alignment horizontal="center" vertical="center"/>
    </xf>
    <xf numFmtId="166" fontId="7" fillId="0" borderId="10" xfId="1" applyNumberFormat="1" applyFont="1" applyBorder="1" applyAlignment="1">
      <alignment horizontal="center" vertical="center"/>
    </xf>
    <xf numFmtId="167" fontId="6" fillId="4" borderId="3" xfId="1" applyNumberFormat="1" applyFont="1" applyFill="1" applyBorder="1" applyAlignment="1">
      <alignment horizontal="center" vertical="center"/>
    </xf>
    <xf numFmtId="167" fontId="7" fillId="4" borderId="3" xfId="1" applyNumberFormat="1" applyFont="1" applyFill="1" applyBorder="1" applyAlignment="1">
      <alignment horizontal="center" vertical="center"/>
    </xf>
    <xf numFmtId="14" fontId="7" fillId="0" borderId="12" xfId="1" applyNumberFormat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9" fontId="7" fillId="4" borderId="3" xfId="1339" applyFont="1" applyFill="1" applyBorder="1" applyAlignment="1">
      <alignment horizontal="center" vertical="center"/>
    </xf>
    <xf numFmtId="1" fontId="7" fillId="4" borderId="3" xfId="1" applyNumberFormat="1" applyFont="1" applyFill="1" applyBorder="1" applyAlignment="1">
      <alignment horizontal="center" vertical="center" wrapText="1"/>
    </xf>
    <xf numFmtId="167" fontId="7" fillId="4" borderId="3" xfId="1" applyNumberFormat="1" applyFont="1" applyFill="1" applyBorder="1" applyAlignment="1">
      <alignment horizontal="center" vertical="center" wrapText="1"/>
    </xf>
    <xf numFmtId="167" fontId="7" fillId="4" borderId="3" xfId="1" applyNumberFormat="1" applyFont="1" applyFill="1" applyBorder="1" applyAlignment="1">
      <alignment horizontal="left" vertical="center"/>
    </xf>
    <xf numFmtId="14" fontId="7" fillId="4" borderId="3" xfId="1" applyNumberFormat="1" applyFont="1" applyFill="1" applyBorder="1" applyAlignment="1">
      <alignment horizontal="center" vertical="center"/>
    </xf>
    <xf numFmtId="1" fontId="7" fillId="0" borderId="12" xfId="1" applyNumberFormat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center" vertical="center"/>
    </xf>
    <xf numFmtId="166" fontId="24" fillId="0" borderId="3" xfId="1" applyNumberFormat="1" applyFont="1" applyBorder="1" applyAlignment="1">
      <alignment horizontal="center" vertical="center"/>
    </xf>
    <xf numFmtId="9" fontId="6" fillId="0" borderId="0" xfId="1339" applyFont="1" applyAlignment="1">
      <alignment vertical="center"/>
    </xf>
    <xf numFmtId="0" fontId="8" fillId="0" borderId="20" xfId="3" applyFont="1" applyBorder="1"/>
    <xf numFmtId="0" fontId="8" fillId="0" borderId="0" xfId="3" applyFont="1"/>
    <xf numFmtId="0" fontId="8" fillId="6" borderId="14" xfId="3" applyFont="1" applyFill="1" applyBorder="1" applyAlignment="1">
      <alignment horizontal="center"/>
    </xf>
    <xf numFmtId="0" fontId="8" fillId="0" borderId="0" xfId="2" applyFont="1" applyAlignment="1"/>
    <xf numFmtId="0" fontId="8" fillId="0" borderId="0" xfId="2" applyFont="1" applyAlignment="1">
      <alignment horizontal="center"/>
    </xf>
    <xf numFmtId="0" fontId="8" fillId="6" borderId="14" xfId="3" applyFont="1" applyFill="1" applyBorder="1" applyAlignment="1">
      <alignment horizontal="left"/>
    </xf>
    <xf numFmtId="0" fontId="7" fillId="7" borderId="2" xfId="1" applyFont="1" applyFill="1" applyBorder="1" applyAlignment="1">
      <alignment horizontal="center" vertical="center"/>
    </xf>
    <xf numFmtId="0" fontId="7" fillId="7" borderId="0" xfId="1" applyFont="1" applyFill="1" applyAlignment="1">
      <alignment vertical="center"/>
    </xf>
    <xf numFmtId="2" fontId="7" fillId="7" borderId="0" xfId="1" applyNumberFormat="1" applyFont="1" applyFill="1" applyAlignment="1">
      <alignment horizontal="center" vertical="center" wrapText="1"/>
    </xf>
    <xf numFmtId="1" fontId="7" fillId="7" borderId="0" xfId="1" quotePrefix="1" applyNumberFormat="1" applyFont="1" applyFill="1" applyAlignment="1">
      <alignment horizontal="center" vertical="center"/>
    </xf>
    <xf numFmtId="2" fontId="7" fillId="7" borderId="0" xfId="1" quotePrefix="1" applyNumberFormat="1" applyFont="1" applyFill="1" applyAlignment="1">
      <alignment horizontal="center" vertical="center"/>
    </xf>
    <xf numFmtId="0" fontId="7" fillId="7" borderId="0" xfId="1" applyFont="1" applyFill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1" fontId="7" fillId="0" borderId="8" xfId="1" applyNumberFormat="1" applyFont="1" applyBorder="1" applyAlignment="1">
      <alignment horizontal="center" vertical="center"/>
    </xf>
    <xf numFmtId="1" fontId="7" fillId="0" borderId="10" xfId="1" applyNumberFormat="1" applyFont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7" fillId="9" borderId="22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7" fillId="0" borderId="10" xfId="1" applyFont="1" applyBorder="1" applyAlignment="1">
      <alignment horizontal="center"/>
    </xf>
  </cellXfs>
  <cellStyles count="1340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6 2" xfId="9" xr:uid="{00000000-0005-0000-0000-000004000000}"/>
    <cellStyle name="40% - Accent1 2" xfId="10" xr:uid="{00000000-0005-0000-0000-000005000000}"/>
    <cellStyle name="40% - Accent3 2" xfId="11" xr:uid="{00000000-0005-0000-0000-000006000000}"/>
    <cellStyle name="40% - Accent4 2" xfId="12" xr:uid="{00000000-0005-0000-0000-000007000000}"/>
    <cellStyle name="40% - Accent5 2" xfId="13" xr:uid="{00000000-0005-0000-0000-000008000000}"/>
    <cellStyle name="40% - Accent6 2" xfId="14" xr:uid="{00000000-0005-0000-0000-000009000000}"/>
    <cellStyle name="60% - Accent1 2" xfId="15" xr:uid="{00000000-0005-0000-0000-00000A000000}"/>
    <cellStyle name="60% - Accent2 2" xfId="16" xr:uid="{00000000-0005-0000-0000-00000B000000}"/>
    <cellStyle name="60% - Accent3 2" xfId="17" xr:uid="{00000000-0005-0000-0000-00000C000000}"/>
    <cellStyle name="60% - Accent4 2" xfId="18" xr:uid="{00000000-0005-0000-0000-00000D000000}"/>
    <cellStyle name="60% - Accent5 2" xfId="19" xr:uid="{00000000-0005-0000-0000-00000E000000}"/>
    <cellStyle name="60% - Accent6 2" xfId="20" xr:uid="{00000000-0005-0000-0000-00000F000000}"/>
    <cellStyle name="Accent1 2" xfId="21" xr:uid="{00000000-0005-0000-0000-000010000000}"/>
    <cellStyle name="Accent2 2" xfId="22" xr:uid="{00000000-0005-0000-0000-000011000000}"/>
    <cellStyle name="Accent3 2" xfId="23" xr:uid="{00000000-0005-0000-0000-000012000000}"/>
    <cellStyle name="Accent4 2" xfId="24" xr:uid="{00000000-0005-0000-0000-000013000000}"/>
    <cellStyle name="Accent6 2" xfId="25" xr:uid="{00000000-0005-0000-0000-000014000000}"/>
    <cellStyle name="Bad 2" xfId="26" xr:uid="{00000000-0005-0000-0000-000015000000}"/>
    <cellStyle name="Calculation 2" xfId="27" xr:uid="{00000000-0005-0000-0000-000016000000}"/>
    <cellStyle name="Calculation 3" xfId="28" xr:uid="{00000000-0005-0000-0000-000017000000}"/>
    <cellStyle name="Comma 2" xfId="29" xr:uid="{00000000-0005-0000-0000-000018000000}"/>
    <cellStyle name="Comma 2 2" xfId="30" xr:uid="{00000000-0005-0000-0000-000019000000}"/>
    <cellStyle name="Comma 2 3" xfId="31" xr:uid="{00000000-0005-0000-0000-00001A000000}"/>
    <cellStyle name="Comma 3" xfId="32" xr:uid="{00000000-0005-0000-0000-00001B000000}"/>
    <cellStyle name="Comma 3 2" xfId="33" xr:uid="{00000000-0005-0000-0000-00001C000000}"/>
    <cellStyle name="Currency 2" xfId="34" xr:uid="{00000000-0005-0000-0000-00001D000000}"/>
    <cellStyle name="Currency 3" xfId="35" xr:uid="{00000000-0005-0000-0000-00001E000000}"/>
    <cellStyle name="Good 2" xfId="36" xr:uid="{00000000-0005-0000-0000-00001F000000}"/>
    <cellStyle name="Heading 1 2" xfId="37" xr:uid="{00000000-0005-0000-0000-000020000000}"/>
    <cellStyle name="Heading 2 2" xfId="38" xr:uid="{00000000-0005-0000-0000-000021000000}"/>
    <cellStyle name="Heading 3 2" xfId="39" xr:uid="{00000000-0005-0000-0000-000022000000}"/>
    <cellStyle name="Heading 4 2" xfId="40" xr:uid="{00000000-0005-0000-0000-000023000000}"/>
    <cellStyle name="Hyperlink 2" xfId="41" xr:uid="{00000000-0005-0000-0000-000024000000}"/>
    <cellStyle name="Hyperlink 3" xfId="42" xr:uid="{00000000-0005-0000-0000-000025000000}"/>
    <cellStyle name="Hyperlink 3 2" xfId="43" xr:uid="{00000000-0005-0000-0000-000026000000}"/>
    <cellStyle name="Hyperlink 4" xfId="44" xr:uid="{00000000-0005-0000-0000-000027000000}"/>
    <cellStyle name="Input 2" xfId="45" xr:uid="{00000000-0005-0000-0000-000028000000}"/>
    <cellStyle name="Input 3" xfId="46" xr:uid="{00000000-0005-0000-0000-000029000000}"/>
    <cellStyle name="Linked Cell 2" xfId="47" xr:uid="{00000000-0005-0000-0000-00002A000000}"/>
    <cellStyle name="Neutral 2" xfId="48" xr:uid="{00000000-0005-0000-0000-00002B000000}"/>
    <cellStyle name="Normal" xfId="0" builtinId="0"/>
    <cellStyle name="Normal 10" xfId="49" xr:uid="{00000000-0005-0000-0000-00002D000000}"/>
    <cellStyle name="Normal 10 2" xfId="50" xr:uid="{00000000-0005-0000-0000-00002E000000}"/>
    <cellStyle name="Normal 10 2 2" xfId="51" xr:uid="{00000000-0005-0000-0000-00002F000000}"/>
    <cellStyle name="Normal 10 2 3" xfId="52" xr:uid="{00000000-0005-0000-0000-000030000000}"/>
    <cellStyle name="Normal 10 2 3 2" xfId="53" xr:uid="{00000000-0005-0000-0000-000031000000}"/>
    <cellStyle name="Normal 10 3" xfId="54" xr:uid="{00000000-0005-0000-0000-000032000000}"/>
    <cellStyle name="Normal 10 4" xfId="55" xr:uid="{00000000-0005-0000-0000-000033000000}"/>
    <cellStyle name="Normal 11" xfId="56" xr:uid="{00000000-0005-0000-0000-000034000000}"/>
    <cellStyle name="Normal 11 2" xfId="57" xr:uid="{00000000-0005-0000-0000-000035000000}"/>
    <cellStyle name="Normal 12" xfId="58" xr:uid="{00000000-0005-0000-0000-000036000000}"/>
    <cellStyle name="Normal 13" xfId="59" xr:uid="{00000000-0005-0000-0000-000037000000}"/>
    <cellStyle name="Normal 13 2" xfId="60" xr:uid="{00000000-0005-0000-0000-000038000000}"/>
    <cellStyle name="Normal 13 2 2" xfId="61" xr:uid="{00000000-0005-0000-0000-000039000000}"/>
    <cellStyle name="Normal 14" xfId="62" xr:uid="{00000000-0005-0000-0000-00003A000000}"/>
    <cellStyle name="Normal 14 2" xfId="63" xr:uid="{00000000-0005-0000-0000-00003B000000}"/>
    <cellStyle name="Normal 14 2 2" xfId="64" xr:uid="{00000000-0005-0000-0000-00003C000000}"/>
    <cellStyle name="Normal 14 2 2 2" xfId="65" xr:uid="{00000000-0005-0000-0000-00003D000000}"/>
    <cellStyle name="Normal 14 2 3" xfId="66" xr:uid="{00000000-0005-0000-0000-00003E000000}"/>
    <cellStyle name="Normal 14 3" xfId="67" xr:uid="{00000000-0005-0000-0000-00003F000000}"/>
    <cellStyle name="Normal 14 3 2" xfId="68" xr:uid="{00000000-0005-0000-0000-000040000000}"/>
    <cellStyle name="Normal 14 4" xfId="69" xr:uid="{00000000-0005-0000-0000-000041000000}"/>
    <cellStyle name="Normal 15" xfId="70" xr:uid="{00000000-0005-0000-0000-000042000000}"/>
    <cellStyle name="Normal 15 2" xfId="71" xr:uid="{00000000-0005-0000-0000-000043000000}"/>
    <cellStyle name="Normal 15 2 2" xfId="72" xr:uid="{00000000-0005-0000-0000-000044000000}"/>
    <cellStyle name="Normal 15 2 2 2" xfId="73" xr:uid="{00000000-0005-0000-0000-000045000000}"/>
    <cellStyle name="Normal 15 2 2 3" xfId="74" xr:uid="{00000000-0005-0000-0000-000046000000}"/>
    <cellStyle name="Normal 15 2 3" xfId="75" xr:uid="{00000000-0005-0000-0000-000047000000}"/>
    <cellStyle name="Normal 15 3" xfId="76" xr:uid="{00000000-0005-0000-0000-000048000000}"/>
    <cellStyle name="Normal 15 4" xfId="77" xr:uid="{00000000-0005-0000-0000-000049000000}"/>
    <cellStyle name="Normal 15 4 2" xfId="78" xr:uid="{00000000-0005-0000-0000-00004A000000}"/>
    <cellStyle name="Normal 15 4 2 2" xfId="79" xr:uid="{00000000-0005-0000-0000-00004B000000}"/>
    <cellStyle name="Normal 15 4 2 2 2" xfId="80" xr:uid="{00000000-0005-0000-0000-00004C000000}"/>
    <cellStyle name="Normal 15 4 2 2 2 2" xfId="81" xr:uid="{00000000-0005-0000-0000-00004D000000}"/>
    <cellStyle name="Normal 15 4 2 2 3" xfId="82" xr:uid="{00000000-0005-0000-0000-00004E000000}"/>
    <cellStyle name="Normal 15 4 2 2 4" xfId="83" xr:uid="{00000000-0005-0000-0000-00004F000000}"/>
    <cellStyle name="Normal 15 4 3" xfId="84" xr:uid="{00000000-0005-0000-0000-000050000000}"/>
    <cellStyle name="Normal 15 4 3 2" xfId="85" xr:uid="{00000000-0005-0000-0000-000051000000}"/>
    <cellStyle name="Normal 15 4 4" xfId="86" xr:uid="{00000000-0005-0000-0000-000052000000}"/>
    <cellStyle name="Normal 15 5" xfId="87" xr:uid="{00000000-0005-0000-0000-000053000000}"/>
    <cellStyle name="Normal 15 5 2" xfId="88" xr:uid="{00000000-0005-0000-0000-000054000000}"/>
    <cellStyle name="Normal 15 6" xfId="89" xr:uid="{00000000-0005-0000-0000-000055000000}"/>
    <cellStyle name="Normal 15 7" xfId="90" xr:uid="{00000000-0005-0000-0000-000056000000}"/>
    <cellStyle name="Normal 16" xfId="91" xr:uid="{00000000-0005-0000-0000-000057000000}"/>
    <cellStyle name="Normal 16 2" xfId="92" xr:uid="{00000000-0005-0000-0000-000058000000}"/>
    <cellStyle name="Normal 16 2 2" xfId="93" xr:uid="{00000000-0005-0000-0000-000059000000}"/>
    <cellStyle name="Normal 16 2 2 2" xfId="94" xr:uid="{00000000-0005-0000-0000-00005A000000}"/>
    <cellStyle name="Normal 16 2 2 3" xfId="95" xr:uid="{00000000-0005-0000-0000-00005B000000}"/>
    <cellStyle name="Normal 16 2 2 4" xfId="96" xr:uid="{00000000-0005-0000-0000-00005C000000}"/>
    <cellStyle name="Normal 16 2 2 5" xfId="97" xr:uid="{00000000-0005-0000-0000-00005D000000}"/>
    <cellStyle name="Normal 16 2 2 6" xfId="98" xr:uid="{00000000-0005-0000-0000-00005E000000}"/>
    <cellStyle name="Normal 16 2 2 6 2" xfId="99" xr:uid="{00000000-0005-0000-0000-00005F000000}"/>
    <cellStyle name="Normal 16 2 2 6 3" xfId="100" xr:uid="{00000000-0005-0000-0000-000060000000}"/>
    <cellStyle name="Normal 16 2 2 6 4" xfId="101" xr:uid="{00000000-0005-0000-0000-000061000000}"/>
    <cellStyle name="Normal 16 2 2 6 4 2" xfId="102" xr:uid="{00000000-0005-0000-0000-000062000000}"/>
    <cellStyle name="Normal 16 2 2 7" xfId="103" xr:uid="{00000000-0005-0000-0000-000063000000}"/>
    <cellStyle name="Normal 16 2 3" xfId="104" xr:uid="{00000000-0005-0000-0000-000064000000}"/>
    <cellStyle name="Normal 16 3" xfId="105" xr:uid="{00000000-0005-0000-0000-000065000000}"/>
    <cellStyle name="Normal 16 3 2" xfId="106" xr:uid="{00000000-0005-0000-0000-000066000000}"/>
    <cellStyle name="Normal 16 4" xfId="107" xr:uid="{00000000-0005-0000-0000-000067000000}"/>
    <cellStyle name="Normal 16 5" xfId="108" xr:uid="{00000000-0005-0000-0000-000068000000}"/>
    <cellStyle name="Normal 16 5 2" xfId="109" xr:uid="{00000000-0005-0000-0000-000069000000}"/>
    <cellStyle name="Normal 17" xfId="110" xr:uid="{00000000-0005-0000-0000-00006A000000}"/>
    <cellStyle name="Normal 17 2" xfId="111" xr:uid="{00000000-0005-0000-0000-00006B000000}"/>
    <cellStyle name="Normal 17 2 2" xfId="112" xr:uid="{00000000-0005-0000-0000-00006C000000}"/>
    <cellStyle name="Normal 17 3" xfId="113" xr:uid="{00000000-0005-0000-0000-00006D000000}"/>
    <cellStyle name="Normal 17 3 2" xfId="114" xr:uid="{00000000-0005-0000-0000-00006E000000}"/>
    <cellStyle name="Normal 17 3 2 2" xfId="115" xr:uid="{00000000-0005-0000-0000-00006F000000}"/>
    <cellStyle name="Normal 17 3 2 2 2" xfId="116" xr:uid="{00000000-0005-0000-0000-000070000000}"/>
    <cellStyle name="Normal 17 3 2 2 3" xfId="117" xr:uid="{00000000-0005-0000-0000-000071000000}"/>
    <cellStyle name="Normal 17 3 2 2 4" xfId="118" xr:uid="{00000000-0005-0000-0000-000072000000}"/>
    <cellStyle name="Normal 17 3 3" xfId="119" xr:uid="{00000000-0005-0000-0000-000073000000}"/>
    <cellStyle name="Normal 17 4" xfId="120" xr:uid="{00000000-0005-0000-0000-000074000000}"/>
    <cellStyle name="Normal 18" xfId="121" xr:uid="{00000000-0005-0000-0000-000075000000}"/>
    <cellStyle name="Normal 18 2" xfId="122" xr:uid="{00000000-0005-0000-0000-000076000000}"/>
    <cellStyle name="Normal 18 2 2" xfId="123" xr:uid="{00000000-0005-0000-0000-000077000000}"/>
    <cellStyle name="Normal 18 3" xfId="124" xr:uid="{00000000-0005-0000-0000-000078000000}"/>
    <cellStyle name="Normal 18 4" xfId="125" xr:uid="{00000000-0005-0000-0000-000079000000}"/>
    <cellStyle name="Normal 19" xfId="126" xr:uid="{00000000-0005-0000-0000-00007A000000}"/>
    <cellStyle name="Normal 19 2" xfId="127" xr:uid="{00000000-0005-0000-0000-00007B000000}"/>
    <cellStyle name="Normal 19 2 2" xfId="128" xr:uid="{00000000-0005-0000-0000-00007C000000}"/>
    <cellStyle name="Normal 19 3" xfId="129" xr:uid="{00000000-0005-0000-0000-00007D000000}"/>
    <cellStyle name="Normal 2" xfId="130" xr:uid="{00000000-0005-0000-0000-00007E000000}"/>
    <cellStyle name="Normal 2 10" xfId="1" xr:uid="{00000000-0005-0000-0000-00007F000000}"/>
    <cellStyle name="Normal 2 10 2" xfId="131" xr:uid="{00000000-0005-0000-0000-000080000000}"/>
    <cellStyle name="Normal 2 11" xfId="132" xr:uid="{00000000-0005-0000-0000-000081000000}"/>
    <cellStyle name="Normal 2 11 2" xfId="133" xr:uid="{00000000-0005-0000-0000-000082000000}"/>
    <cellStyle name="Normal 2 12" xfId="134" xr:uid="{00000000-0005-0000-0000-000083000000}"/>
    <cellStyle name="Normal 2 2" xfId="135" xr:uid="{00000000-0005-0000-0000-000084000000}"/>
    <cellStyle name="Normal 2 2 2" xfId="2" xr:uid="{00000000-0005-0000-0000-000085000000}"/>
    <cellStyle name="Normal 2 2 3" xfId="136" xr:uid="{00000000-0005-0000-0000-000086000000}"/>
    <cellStyle name="Normal 2 3" xfId="137" xr:uid="{00000000-0005-0000-0000-000087000000}"/>
    <cellStyle name="Normal 2 3 2" xfId="138" xr:uid="{00000000-0005-0000-0000-000088000000}"/>
    <cellStyle name="Normal 2 3 2 2" xfId="139" xr:uid="{00000000-0005-0000-0000-000089000000}"/>
    <cellStyle name="Normal 2 3 3" xfId="140" xr:uid="{00000000-0005-0000-0000-00008A000000}"/>
    <cellStyle name="Normal 2 4" xfId="141" xr:uid="{00000000-0005-0000-0000-00008B000000}"/>
    <cellStyle name="Normal 2 4 2" xfId="142" xr:uid="{00000000-0005-0000-0000-00008C000000}"/>
    <cellStyle name="Normal 2 4 3" xfId="143" xr:uid="{00000000-0005-0000-0000-00008D000000}"/>
    <cellStyle name="Normal 2 5" xfId="144" xr:uid="{00000000-0005-0000-0000-00008E000000}"/>
    <cellStyle name="Normal 2 6" xfId="145" xr:uid="{00000000-0005-0000-0000-00008F000000}"/>
    <cellStyle name="Normal 2 7" xfId="146" xr:uid="{00000000-0005-0000-0000-000090000000}"/>
    <cellStyle name="Normal 2 8" xfId="147" xr:uid="{00000000-0005-0000-0000-000091000000}"/>
    <cellStyle name="Normal 2 9" xfId="148" xr:uid="{00000000-0005-0000-0000-000092000000}"/>
    <cellStyle name="Normal 2_IE Docket-93073" xfId="149" xr:uid="{00000000-0005-0000-0000-000093000000}"/>
    <cellStyle name="Normal 20" xfId="150" xr:uid="{00000000-0005-0000-0000-000094000000}"/>
    <cellStyle name="Normal 20 2" xfId="151" xr:uid="{00000000-0005-0000-0000-000095000000}"/>
    <cellStyle name="Normal 20 2 2" xfId="152" xr:uid="{00000000-0005-0000-0000-000096000000}"/>
    <cellStyle name="Normal 20 3" xfId="153" xr:uid="{00000000-0005-0000-0000-000097000000}"/>
    <cellStyle name="Normal 20 4" xfId="154" xr:uid="{00000000-0005-0000-0000-000098000000}"/>
    <cellStyle name="Normal 21" xfId="155" xr:uid="{00000000-0005-0000-0000-000099000000}"/>
    <cellStyle name="Normal 21 2" xfId="156" xr:uid="{00000000-0005-0000-0000-00009A000000}"/>
    <cellStyle name="Normal 21 3" xfId="157" xr:uid="{00000000-0005-0000-0000-00009B000000}"/>
    <cellStyle name="Normal 22" xfId="158" xr:uid="{00000000-0005-0000-0000-00009C000000}"/>
    <cellStyle name="Normal 22 2" xfId="159" xr:uid="{00000000-0005-0000-0000-00009D000000}"/>
    <cellStyle name="Normal 22 2 2" xfId="160" xr:uid="{00000000-0005-0000-0000-00009E000000}"/>
    <cellStyle name="Normal 22 3" xfId="161" xr:uid="{00000000-0005-0000-0000-00009F000000}"/>
    <cellStyle name="Normal 23" xfId="162" xr:uid="{00000000-0005-0000-0000-0000A0000000}"/>
    <cellStyle name="Normal 23 2" xfId="163" xr:uid="{00000000-0005-0000-0000-0000A1000000}"/>
    <cellStyle name="Normal 24" xfId="164" xr:uid="{00000000-0005-0000-0000-0000A2000000}"/>
    <cellStyle name="Normal 24 2" xfId="165" xr:uid="{00000000-0005-0000-0000-0000A3000000}"/>
    <cellStyle name="Normal 25" xfId="166" xr:uid="{00000000-0005-0000-0000-0000A4000000}"/>
    <cellStyle name="Normal 25 2" xfId="167" xr:uid="{00000000-0005-0000-0000-0000A5000000}"/>
    <cellStyle name="Normal 26" xfId="168" xr:uid="{00000000-0005-0000-0000-0000A6000000}"/>
    <cellStyle name="Normal 27" xfId="169" xr:uid="{00000000-0005-0000-0000-0000A7000000}"/>
    <cellStyle name="Normal 28" xfId="170" xr:uid="{00000000-0005-0000-0000-0000A8000000}"/>
    <cellStyle name="Normal 28 2" xfId="171" xr:uid="{00000000-0005-0000-0000-0000A9000000}"/>
    <cellStyle name="Normal 28 3" xfId="172" xr:uid="{00000000-0005-0000-0000-0000AA000000}"/>
    <cellStyle name="Normal 29" xfId="173" xr:uid="{00000000-0005-0000-0000-0000AB000000}"/>
    <cellStyle name="Normal 29 2" xfId="174" xr:uid="{00000000-0005-0000-0000-0000AC000000}"/>
    <cellStyle name="Normal 3" xfId="175" xr:uid="{00000000-0005-0000-0000-0000AD000000}"/>
    <cellStyle name="Normal 3 10" xfId="176" xr:uid="{00000000-0005-0000-0000-0000AE000000}"/>
    <cellStyle name="Normal 3 10 2" xfId="177" xr:uid="{00000000-0005-0000-0000-0000AF000000}"/>
    <cellStyle name="Normal 3 10 2 2" xfId="178" xr:uid="{00000000-0005-0000-0000-0000B0000000}"/>
    <cellStyle name="Normal 3 10 3" xfId="179" xr:uid="{00000000-0005-0000-0000-0000B1000000}"/>
    <cellStyle name="Normal 3 11" xfId="180" xr:uid="{00000000-0005-0000-0000-0000B2000000}"/>
    <cellStyle name="Normal 3 11 2" xfId="181" xr:uid="{00000000-0005-0000-0000-0000B3000000}"/>
    <cellStyle name="Normal 3 11 2 2" xfId="182" xr:uid="{00000000-0005-0000-0000-0000B4000000}"/>
    <cellStyle name="Normal 3 11 3" xfId="183" xr:uid="{00000000-0005-0000-0000-0000B5000000}"/>
    <cellStyle name="Normal 3 11 3 2" xfId="184" xr:uid="{00000000-0005-0000-0000-0000B6000000}"/>
    <cellStyle name="Normal 3 11 4" xfId="185" xr:uid="{00000000-0005-0000-0000-0000B7000000}"/>
    <cellStyle name="Normal 3 12" xfId="186" xr:uid="{00000000-0005-0000-0000-0000B8000000}"/>
    <cellStyle name="Normal 3 12 2" xfId="187" xr:uid="{00000000-0005-0000-0000-0000B9000000}"/>
    <cellStyle name="Normal 3 13" xfId="188" xr:uid="{00000000-0005-0000-0000-0000BA000000}"/>
    <cellStyle name="Normal 3 13 2" xfId="189" xr:uid="{00000000-0005-0000-0000-0000BB000000}"/>
    <cellStyle name="Normal 3 2" xfId="190" xr:uid="{00000000-0005-0000-0000-0000BC000000}"/>
    <cellStyle name="Normal 3 2 2" xfId="191" xr:uid="{00000000-0005-0000-0000-0000BD000000}"/>
    <cellStyle name="Normal 3 3" xfId="192" xr:uid="{00000000-0005-0000-0000-0000BE000000}"/>
    <cellStyle name="Normal 3 3 2" xfId="193" xr:uid="{00000000-0005-0000-0000-0000BF000000}"/>
    <cellStyle name="Normal 3 4" xfId="194" xr:uid="{00000000-0005-0000-0000-0000C0000000}"/>
    <cellStyle name="Normal 3 4 2" xfId="195" xr:uid="{00000000-0005-0000-0000-0000C1000000}"/>
    <cellStyle name="Normal 3 4 2 2" xfId="196" xr:uid="{00000000-0005-0000-0000-0000C2000000}"/>
    <cellStyle name="Normal 3 4 2 2 2" xfId="197" xr:uid="{00000000-0005-0000-0000-0000C3000000}"/>
    <cellStyle name="Normal 3 4 2 3" xfId="198" xr:uid="{00000000-0005-0000-0000-0000C4000000}"/>
    <cellStyle name="Normal 3 4 3" xfId="199" xr:uid="{00000000-0005-0000-0000-0000C5000000}"/>
    <cellStyle name="Normal 3 4 3 2" xfId="200" xr:uid="{00000000-0005-0000-0000-0000C6000000}"/>
    <cellStyle name="Normal 3 4 4" xfId="201" xr:uid="{00000000-0005-0000-0000-0000C7000000}"/>
    <cellStyle name="Normal 3 5" xfId="202" xr:uid="{00000000-0005-0000-0000-0000C8000000}"/>
    <cellStyle name="Normal 3 5 2" xfId="203" xr:uid="{00000000-0005-0000-0000-0000C9000000}"/>
    <cellStyle name="Normal 3 5 2 2" xfId="204" xr:uid="{00000000-0005-0000-0000-0000CA000000}"/>
    <cellStyle name="Normal 3 5 2 2 2" xfId="205" xr:uid="{00000000-0005-0000-0000-0000CB000000}"/>
    <cellStyle name="Normal 3 5 2 3" xfId="206" xr:uid="{00000000-0005-0000-0000-0000CC000000}"/>
    <cellStyle name="Normal 3 5 3" xfId="207" xr:uid="{00000000-0005-0000-0000-0000CD000000}"/>
    <cellStyle name="Normal 3 5 3 2" xfId="208" xr:uid="{00000000-0005-0000-0000-0000CE000000}"/>
    <cellStyle name="Normal 3 5 4" xfId="209" xr:uid="{00000000-0005-0000-0000-0000CF000000}"/>
    <cellStyle name="Normal 3 6" xfId="210" xr:uid="{00000000-0005-0000-0000-0000D0000000}"/>
    <cellStyle name="Normal 3 6 2" xfId="211" xr:uid="{00000000-0005-0000-0000-0000D1000000}"/>
    <cellStyle name="Normal 3 6 2 2" xfId="212" xr:uid="{00000000-0005-0000-0000-0000D2000000}"/>
    <cellStyle name="Normal 3 6 3" xfId="213" xr:uid="{00000000-0005-0000-0000-0000D3000000}"/>
    <cellStyle name="Normal 3 6 4" xfId="214" xr:uid="{00000000-0005-0000-0000-0000D4000000}"/>
    <cellStyle name="Normal 3 7" xfId="215" xr:uid="{00000000-0005-0000-0000-0000D5000000}"/>
    <cellStyle name="Normal 3 7 2" xfId="216" xr:uid="{00000000-0005-0000-0000-0000D6000000}"/>
    <cellStyle name="Normal 3 7 2 2" xfId="217" xr:uid="{00000000-0005-0000-0000-0000D7000000}"/>
    <cellStyle name="Normal 3 7 3" xfId="218" xr:uid="{00000000-0005-0000-0000-0000D8000000}"/>
    <cellStyle name="Normal 3 8" xfId="219" xr:uid="{00000000-0005-0000-0000-0000D9000000}"/>
    <cellStyle name="Normal 3 8 2" xfId="220" xr:uid="{00000000-0005-0000-0000-0000DA000000}"/>
    <cellStyle name="Normal 3 8 2 2" xfId="221" xr:uid="{00000000-0005-0000-0000-0000DB000000}"/>
    <cellStyle name="Normal 3 8 3" xfId="222" xr:uid="{00000000-0005-0000-0000-0000DC000000}"/>
    <cellStyle name="Normal 3 9" xfId="223" xr:uid="{00000000-0005-0000-0000-0000DD000000}"/>
    <cellStyle name="Normal 3 9 2" xfId="224" xr:uid="{00000000-0005-0000-0000-0000DE000000}"/>
    <cellStyle name="Normal 3 9 2 2" xfId="225" xr:uid="{00000000-0005-0000-0000-0000DF000000}"/>
    <cellStyle name="Normal 3 9 2 2 2" xfId="226" xr:uid="{00000000-0005-0000-0000-0000E0000000}"/>
    <cellStyle name="Normal 3 9 2 2 3" xfId="227" xr:uid="{00000000-0005-0000-0000-0000E1000000}"/>
    <cellStyle name="Normal 3 9 2 2 4" xfId="228" xr:uid="{00000000-0005-0000-0000-0000E2000000}"/>
    <cellStyle name="Normal 3 9 2 3" xfId="229" xr:uid="{00000000-0005-0000-0000-0000E3000000}"/>
    <cellStyle name="Normal 3 9 2 3 2" xfId="230" xr:uid="{00000000-0005-0000-0000-0000E4000000}"/>
    <cellStyle name="Normal 3 9 2 4" xfId="231" xr:uid="{00000000-0005-0000-0000-0000E5000000}"/>
    <cellStyle name="Normal 3 9 3" xfId="232" xr:uid="{00000000-0005-0000-0000-0000E6000000}"/>
    <cellStyle name="Normal 3 9 3 2" xfId="233" xr:uid="{00000000-0005-0000-0000-0000E7000000}"/>
    <cellStyle name="Normal 3 9 4" xfId="234" xr:uid="{00000000-0005-0000-0000-0000E8000000}"/>
    <cellStyle name="Normal 3_IE Docket-93073" xfId="235" xr:uid="{00000000-0005-0000-0000-0000E9000000}"/>
    <cellStyle name="Normal 30" xfId="236" xr:uid="{00000000-0005-0000-0000-0000EA000000}"/>
    <cellStyle name="Normal 31" xfId="237" xr:uid="{00000000-0005-0000-0000-0000EB000000}"/>
    <cellStyle name="Normal 32" xfId="238" xr:uid="{00000000-0005-0000-0000-0000EC000000}"/>
    <cellStyle name="Normal 32 2" xfId="239" xr:uid="{00000000-0005-0000-0000-0000ED000000}"/>
    <cellStyle name="Normal 33" xfId="240" xr:uid="{00000000-0005-0000-0000-0000EE000000}"/>
    <cellStyle name="Normal 34" xfId="241" xr:uid="{00000000-0005-0000-0000-0000EF000000}"/>
    <cellStyle name="Normal 34 2" xfId="242" xr:uid="{00000000-0005-0000-0000-0000F0000000}"/>
    <cellStyle name="Normal 34 3" xfId="243" xr:uid="{00000000-0005-0000-0000-0000F1000000}"/>
    <cellStyle name="Normal 35" xfId="244" xr:uid="{00000000-0005-0000-0000-0000F2000000}"/>
    <cellStyle name="Normal 36" xfId="245" xr:uid="{00000000-0005-0000-0000-0000F3000000}"/>
    <cellStyle name="Normal 37" xfId="246" xr:uid="{00000000-0005-0000-0000-0000F4000000}"/>
    <cellStyle name="Normal 38" xfId="247" xr:uid="{00000000-0005-0000-0000-0000F5000000}"/>
    <cellStyle name="Normal 39" xfId="248" xr:uid="{00000000-0005-0000-0000-0000F6000000}"/>
    <cellStyle name="Normal 4" xfId="249" xr:uid="{00000000-0005-0000-0000-0000F7000000}"/>
    <cellStyle name="Normal 4 2" xfId="250" xr:uid="{00000000-0005-0000-0000-0000F8000000}"/>
    <cellStyle name="Normal 5" xfId="251" xr:uid="{00000000-0005-0000-0000-0000F9000000}"/>
    <cellStyle name="Normal 5 10" xfId="252" xr:uid="{00000000-0005-0000-0000-0000FA000000}"/>
    <cellStyle name="Normal 5 10 2" xfId="253" xr:uid="{00000000-0005-0000-0000-0000FB000000}"/>
    <cellStyle name="Normal 5 10 2 2" xfId="254" xr:uid="{00000000-0005-0000-0000-0000FC000000}"/>
    <cellStyle name="Normal 5 11" xfId="255" xr:uid="{00000000-0005-0000-0000-0000FD000000}"/>
    <cellStyle name="Normal 5 11 2" xfId="256" xr:uid="{00000000-0005-0000-0000-0000FE000000}"/>
    <cellStyle name="Normal 5 12" xfId="257" xr:uid="{00000000-0005-0000-0000-0000FF000000}"/>
    <cellStyle name="Normal 5 12 2" xfId="258" xr:uid="{00000000-0005-0000-0000-000000010000}"/>
    <cellStyle name="Normal 5 13" xfId="259" xr:uid="{00000000-0005-0000-0000-000001010000}"/>
    <cellStyle name="Normal 5 13 2" xfId="260" xr:uid="{00000000-0005-0000-0000-000002010000}"/>
    <cellStyle name="Normal 5 13 2 2" xfId="261" xr:uid="{00000000-0005-0000-0000-000003010000}"/>
    <cellStyle name="Normal 5 13 2 3" xfId="262" xr:uid="{00000000-0005-0000-0000-000004010000}"/>
    <cellStyle name="Normal 5 13 2 4" xfId="263" xr:uid="{00000000-0005-0000-0000-000005010000}"/>
    <cellStyle name="Normal 5 13 3" xfId="264" xr:uid="{00000000-0005-0000-0000-000006010000}"/>
    <cellStyle name="Normal 5 13 4" xfId="265" xr:uid="{00000000-0005-0000-0000-000007010000}"/>
    <cellStyle name="Normal 5 13 5" xfId="266" xr:uid="{00000000-0005-0000-0000-000008010000}"/>
    <cellStyle name="Normal 5 14" xfId="267" xr:uid="{00000000-0005-0000-0000-000009010000}"/>
    <cellStyle name="Normal 5 2" xfId="268" xr:uid="{00000000-0005-0000-0000-00000A010000}"/>
    <cellStyle name="Normal 5 2 2" xfId="269" xr:uid="{00000000-0005-0000-0000-00000B010000}"/>
    <cellStyle name="Normal 5 2 2 2" xfId="270" xr:uid="{00000000-0005-0000-0000-00000C010000}"/>
    <cellStyle name="Normal 5 2 2 2 2" xfId="271" xr:uid="{00000000-0005-0000-0000-00000D010000}"/>
    <cellStyle name="Normal 5 2 3" xfId="272" xr:uid="{00000000-0005-0000-0000-00000E010000}"/>
    <cellStyle name="Normal 5 2 3 2" xfId="273" xr:uid="{00000000-0005-0000-0000-00000F010000}"/>
    <cellStyle name="Normal 5 2 3 2 2" xfId="274" xr:uid="{00000000-0005-0000-0000-000010010000}"/>
    <cellStyle name="Normal 5 2 3 2 2 2" xfId="275" xr:uid="{00000000-0005-0000-0000-000011010000}"/>
    <cellStyle name="Normal 5 2 3 2 2 2 2" xfId="276" xr:uid="{00000000-0005-0000-0000-000012010000}"/>
    <cellStyle name="Normal 5 2 3 2 2 3" xfId="277" xr:uid="{00000000-0005-0000-0000-000013010000}"/>
    <cellStyle name="Normal 5 2 3 2 3" xfId="278" xr:uid="{00000000-0005-0000-0000-000014010000}"/>
    <cellStyle name="Normal 5 2 3 2 3 2" xfId="279" xr:uid="{00000000-0005-0000-0000-000015010000}"/>
    <cellStyle name="Normal 5 2 3 2 4" xfId="280" xr:uid="{00000000-0005-0000-0000-000016010000}"/>
    <cellStyle name="Normal 5 2 3 2 4 2" xfId="281" xr:uid="{00000000-0005-0000-0000-000017010000}"/>
    <cellStyle name="Normal 5 2 3 2 5" xfId="282" xr:uid="{00000000-0005-0000-0000-000018010000}"/>
    <cellStyle name="Normal 5 2 3 2 6" xfId="283" xr:uid="{00000000-0005-0000-0000-000019010000}"/>
    <cellStyle name="Normal 5 2 3 3" xfId="284" xr:uid="{00000000-0005-0000-0000-00001A010000}"/>
    <cellStyle name="Normal 5 2 3 3 2" xfId="285" xr:uid="{00000000-0005-0000-0000-00001B010000}"/>
    <cellStyle name="Normal 5 2 3 3 2 2" xfId="286" xr:uid="{00000000-0005-0000-0000-00001C010000}"/>
    <cellStyle name="Normal 5 2 3 3 3" xfId="287" xr:uid="{00000000-0005-0000-0000-00001D010000}"/>
    <cellStyle name="Normal 5 2 3 4" xfId="288" xr:uid="{00000000-0005-0000-0000-00001E010000}"/>
    <cellStyle name="Normal 5 2 3 4 2" xfId="289" xr:uid="{00000000-0005-0000-0000-00001F010000}"/>
    <cellStyle name="Normal 5 2 3 5" xfId="290" xr:uid="{00000000-0005-0000-0000-000020010000}"/>
    <cellStyle name="Normal 5 2 4" xfId="291" xr:uid="{00000000-0005-0000-0000-000021010000}"/>
    <cellStyle name="Normal 5 2 4 2" xfId="292" xr:uid="{00000000-0005-0000-0000-000022010000}"/>
    <cellStyle name="Normal 5 2 4 2 2" xfId="293" xr:uid="{00000000-0005-0000-0000-000023010000}"/>
    <cellStyle name="Normal 5 2 4 2 2 2" xfId="294" xr:uid="{00000000-0005-0000-0000-000024010000}"/>
    <cellStyle name="Normal 5 2 4 2 3" xfId="295" xr:uid="{00000000-0005-0000-0000-000025010000}"/>
    <cellStyle name="Normal 5 2 4 3" xfId="296" xr:uid="{00000000-0005-0000-0000-000026010000}"/>
    <cellStyle name="Normal 5 2 4 3 2" xfId="297" xr:uid="{00000000-0005-0000-0000-000027010000}"/>
    <cellStyle name="Normal 5 2 4 3 2 2" xfId="298" xr:uid="{00000000-0005-0000-0000-000028010000}"/>
    <cellStyle name="Normal 5 2 4 3 3" xfId="299" xr:uid="{00000000-0005-0000-0000-000029010000}"/>
    <cellStyle name="Normal 5 2 4 4" xfId="300" xr:uid="{00000000-0005-0000-0000-00002A010000}"/>
    <cellStyle name="Normal 5 2 4 4 2" xfId="301" xr:uid="{00000000-0005-0000-0000-00002B010000}"/>
    <cellStyle name="Normal 5 2 4 5" xfId="302" xr:uid="{00000000-0005-0000-0000-00002C010000}"/>
    <cellStyle name="Normal 5 2 5" xfId="303" xr:uid="{00000000-0005-0000-0000-00002D010000}"/>
    <cellStyle name="Normal 5 2 5 2" xfId="304" xr:uid="{00000000-0005-0000-0000-00002E010000}"/>
    <cellStyle name="Normal 5 2 5 2 2" xfId="305" xr:uid="{00000000-0005-0000-0000-00002F010000}"/>
    <cellStyle name="Normal 5 2 5 3" xfId="306" xr:uid="{00000000-0005-0000-0000-000030010000}"/>
    <cellStyle name="Normal 5 2 6" xfId="307" xr:uid="{00000000-0005-0000-0000-000031010000}"/>
    <cellStyle name="Normal 5 2 6 2" xfId="308" xr:uid="{00000000-0005-0000-0000-000032010000}"/>
    <cellStyle name="Normal 5 2 6 2 2" xfId="309" xr:uid="{00000000-0005-0000-0000-000033010000}"/>
    <cellStyle name="Normal 5 2 6 2 2 2" xfId="310" xr:uid="{00000000-0005-0000-0000-000034010000}"/>
    <cellStyle name="Normal 5 2 6 2 2 2 2" xfId="311" xr:uid="{00000000-0005-0000-0000-000035010000}"/>
    <cellStyle name="Normal 5 2 6 2 2 2 2 2" xfId="312" xr:uid="{00000000-0005-0000-0000-000036010000}"/>
    <cellStyle name="Normal 5 2 6 2 2 2 3" xfId="313" xr:uid="{00000000-0005-0000-0000-000037010000}"/>
    <cellStyle name="Normal 5 2 6 2 2 2 4" xfId="314" xr:uid="{00000000-0005-0000-0000-000038010000}"/>
    <cellStyle name="Normal 5 2 6 2 2 3" xfId="315" xr:uid="{00000000-0005-0000-0000-000039010000}"/>
    <cellStyle name="Normal 5 2 6 2 3" xfId="316" xr:uid="{00000000-0005-0000-0000-00003A010000}"/>
    <cellStyle name="Normal 5 2 6 2 3 2" xfId="317" xr:uid="{00000000-0005-0000-0000-00003B010000}"/>
    <cellStyle name="Normal 5 2 6 2 4" xfId="318" xr:uid="{00000000-0005-0000-0000-00003C010000}"/>
    <cellStyle name="Normal 5 2 6 2 5" xfId="319" xr:uid="{00000000-0005-0000-0000-00003D010000}"/>
    <cellStyle name="Normal 5 2 6 3" xfId="320" xr:uid="{00000000-0005-0000-0000-00003E010000}"/>
    <cellStyle name="Normal 5 2 6 3 2" xfId="321" xr:uid="{00000000-0005-0000-0000-00003F010000}"/>
    <cellStyle name="Normal 5 2 6 3 3" xfId="322" xr:uid="{00000000-0005-0000-0000-000040010000}"/>
    <cellStyle name="Normal 5 2 6 4" xfId="323" xr:uid="{00000000-0005-0000-0000-000041010000}"/>
    <cellStyle name="Normal 5 2 6 5" xfId="324" xr:uid="{00000000-0005-0000-0000-000042010000}"/>
    <cellStyle name="Normal 5 2 6 6" xfId="325" xr:uid="{00000000-0005-0000-0000-000043010000}"/>
    <cellStyle name="Normal 5 2 7" xfId="326" xr:uid="{00000000-0005-0000-0000-000044010000}"/>
    <cellStyle name="Normal 5 2 7 2" xfId="327" xr:uid="{00000000-0005-0000-0000-000045010000}"/>
    <cellStyle name="Normal 5 2 7 2 2" xfId="328" xr:uid="{00000000-0005-0000-0000-000046010000}"/>
    <cellStyle name="Normal 5 2 7 3" xfId="329" xr:uid="{00000000-0005-0000-0000-000047010000}"/>
    <cellStyle name="Normal 5 2 8" xfId="330" xr:uid="{00000000-0005-0000-0000-000048010000}"/>
    <cellStyle name="Normal 5 2 8 2" xfId="331" xr:uid="{00000000-0005-0000-0000-000049010000}"/>
    <cellStyle name="Normal 5 2 9" xfId="332" xr:uid="{00000000-0005-0000-0000-00004A010000}"/>
    <cellStyle name="Normal 5 3" xfId="333" xr:uid="{00000000-0005-0000-0000-00004B010000}"/>
    <cellStyle name="Normal 5 3 2" xfId="334" xr:uid="{00000000-0005-0000-0000-00004C010000}"/>
    <cellStyle name="Normal 5 3 2 2" xfId="335" xr:uid="{00000000-0005-0000-0000-00004D010000}"/>
    <cellStyle name="Normal 5 3 2 2 2" xfId="336" xr:uid="{00000000-0005-0000-0000-00004E010000}"/>
    <cellStyle name="Normal 5 3 2 2 2 2" xfId="337" xr:uid="{00000000-0005-0000-0000-00004F010000}"/>
    <cellStyle name="Normal 5 3 2 2 2 2 2" xfId="338" xr:uid="{00000000-0005-0000-0000-000050010000}"/>
    <cellStyle name="Normal 5 3 2 2 2 2 2 2" xfId="339" xr:uid="{00000000-0005-0000-0000-000051010000}"/>
    <cellStyle name="Normal 5 3 2 2 2 2 3" xfId="340" xr:uid="{00000000-0005-0000-0000-000052010000}"/>
    <cellStyle name="Normal 5 3 2 2 2 3" xfId="341" xr:uid="{00000000-0005-0000-0000-000053010000}"/>
    <cellStyle name="Normal 5 3 2 2 2 3 2" xfId="342" xr:uid="{00000000-0005-0000-0000-000054010000}"/>
    <cellStyle name="Normal 5 3 2 2 2 4" xfId="343" xr:uid="{00000000-0005-0000-0000-000055010000}"/>
    <cellStyle name="Normal 5 3 2 2 3" xfId="344" xr:uid="{00000000-0005-0000-0000-000056010000}"/>
    <cellStyle name="Normal 5 3 2 2 3 2" xfId="345" xr:uid="{00000000-0005-0000-0000-000057010000}"/>
    <cellStyle name="Normal 5 3 2 2 3 2 2" xfId="346" xr:uid="{00000000-0005-0000-0000-000058010000}"/>
    <cellStyle name="Normal 5 3 2 2 3 3" xfId="347" xr:uid="{00000000-0005-0000-0000-000059010000}"/>
    <cellStyle name="Normal 5 3 2 2 4" xfId="348" xr:uid="{00000000-0005-0000-0000-00005A010000}"/>
    <cellStyle name="Normal 5 3 2 2 4 2" xfId="349" xr:uid="{00000000-0005-0000-0000-00005B010000}"/>
    <cellStyle name="Normal 5 3 2 2 4 2 2" xfId="350" xr:uid="{00000000-0005-0000-0000-00005C010000}"/>
    <cellStyle name="Normal 5 3 2 2 4 3" xfId="351" xr:uid="{00000000-0005-0000-0000-00005D010000}"/>
    <cellStyle name="Normal 5 3 2 2 5" xfId="352" xr:uid="{00000000-0005-0000-0000-00005E010000}"/>
    <cellStyle name="Normal 5 3 2 2 5 2" xfId="353" xr:uid="{00000000-0005-0000-0000-00005F010000}"/>
    <cellStyle name="Normal 5 3 2 2 5 2 2" xfId="354" xr:uid="{00000000-0005-0000-0000-000060010000}"/>
    <cellStyle name="Normal 5 3 2 2 5 3" xfId="355" xr:uid="{00000000-0005-0000-0000-000061010000}"/>
    <cellStyle name="Normal 5 3 2 2 6" xfId="356" xr:uid="{00000000-0005-0000-0000-000062010000}"/>
    <cellStyle name="Normal 5 3 2 2 6 2" xfId="357" xr:uid="{00000000-0005-0000-0000-000063010000}"/>
    <cellStyle name="Normal 5 3 2 2 7" xfId="358" xr:uid="{00000000-0005-0000-0000-000064010000}"/>
    <cellStyle name="Normal 5 3 2 3" xfId="359" xr:uid="{00000000-0005-0000-0000-000065010000}"/>
    <cellStyle name="Normal 5 3 2 3 2" xfId="360" xr:uid="{00000000-0005-0000-0000-000066010000}"/>
    <cellStyle name="Normal 5 3 2 3 2 2" xfId="361" xr:uid="{00000000-0005-0000-0000-000067010000}"/>
    <cellStyle name="Normal 5 3 2 3 2 2 2" xfId="362" xr:uid="{00000000-0005-0000-0000-000068010000}"/>
    <cellStyle name="Normal 5 3 2 3 2 2 3" xfId="363" xr:uid="{00000000-0005-0000-0000-000069010000}"/>
    <cellStyle name="Normal 5 3 2 3 2 2 3 2" xfId="364" xr:uid="{00000000-0005-0000-0000-00006A010000}"/>
    <cellStyle name="Normal 5 3 2 3 2 2 3 2 2" xfId="365" xr:uid="{00000000-0005-0000-0000-00006B010000}"/>
    <cellStyle name="Normal 5 3 2 3 2 2 4" xfId="366" xr:uid="{00000000-0005-0000-0000-00006C010000}"/>
    <cellStyle name="Normal 5 3 2 3 2 2 5" xfId="367" xr:uid="{00000000-0005-0000-0000-00006D010000}"/>
    <cellStyle name="Normal 5 3 2 3 2 2 5 2" xfId="368" xr:uid="{00000000-0005-0000-0000-00006E010000}"/>
    <cellStyle name="Normal 5 3 2 3 2 2 5 3" xfId="369" xr:uid="{00000000-0005-0000-0000-00006F010000}"/>
    <cellStyle name="Normal 5 3 2 3 2 2 5 4" xfId="370" xr:uid="{00000000-0005-0000-0000-000070010000}"/>
    <cellStyle name="Normal 5 3 2 3 2 2 6" xfId="371" xr:uid="{00000000-0005-0000-0000-000071010000}"/>
    <cellStyle name="Normal 5 3 2 3 2 2 7" xfId="372" xr:uid="{00000000-0005-0000-0000-000072010000}"/>
    <cellStyle name="Normal 5 3 2 3 2 2 7 2" xfId="373" xr:uid="{00000000-0005-0000-0000-000073010000}"/>
    <cellStyle name="Normal 5 3 2 3 2 2 8" xfId="374" xr:uid="{00000000-0005-0000-0000-000074010000}"/>
    <cellStyle name="Normal 5 3 2 3 2 3" xfId="375" xr:uid="{00000000-0005-0000-0000-000075010000}"/>
    <cellStyle name="Normal 5 3 2 3 2 4" xfId="376" xr:uid="{00000000-0005-0000-0000-000076010000}"/>
    <cellStyle name="Normal 5 3 2 3 2 5" xfId="377" xr:uid="{00000000-0005-0000-0000-000077010000}"/>
    <cellStyle name="Normal 5 3 2 3 2 6" xfId="378" xr:uid="{00000000-0005-0000-0000-000078010000}"/>
    <cellStyle name="Normal 5 3 2 3 2 7" xfId="379" xr:uid="{00000000-0005-0000-0000-000079010000}"/>
    <cellStyle name="Normal 5 3 2 3 3" xfId="380" xr:uid="{00000000-0005-0000-0000-00007A010000}"/>
    <cellStyle name="Normal 5 3 2 3 3 2" xfId="381" xr:uid="{00000000-0005-0000-0000-00007B010000}"/>
    <cellStyle name="Normal 5 3 2 3 4" xfId="382" xr:uid="{00000000-0005-0000-0000-00007C010000}"/>
    <cellStyle name="Normal 5 3 2 3 4 2" xfId="383" xr:uid="{00000000-0005-0000-0000-00007D010000}"/>
    <cellStyle name="Normal 5 3 2 3 5" xfId="384" xr:uid="{00000000-0005-0000-0000-00007E010000}"/>
    <cellStyle name="Normal 5 3 2 3 5 2" xfId="385" xr:uid="{00000000-0005-0000-0000-00007F010000}"/>
    <cellStyle name="Normal 5 3 2 3 6" xfId="386" xr:uid="{00000000-0005-0000-0000-000080010000}"/>
    <cellStyle name="Normal 5 3 2 4" xfId="387" xr:uid="{00000000-0005-0000-0000-000081010000}"/>
    <cellStyle name="Normal 5 3 2 4 2" xfId="388" xr:uid="{00000000-0005-0000-0000-000082010000}"/>
    <cellStyle name="Normal 5 3 2 5" xfId="389" xr:uid="{00000000-0005-0000-0000-000083010000}"/>
    <cellStyle name="Normal 5 3 2 5 2" xfId="390" xr:uid="{00000000-0005-0000-0000-000084010000}"/>
    <cellStyle name="Normal 5 3 2 5 3" xfId="391" xr:uid="{00000000-0005-0000-0000-000085010000}"/>
    <cellStyle name="Normal 5 3 2 5 4" xfId="392" xr:uid="{00000000-0005-0000-0000-000086010000}"/>
    <cellStyle name="Normal 5 3 2 6" xfId="393" xr:uid="{00000000-0005-0000-0000-000087010000}"/>
    <cellStyle name="Normal 5 3 2 7" xfId="394" xr:uid="{00000000-0005-0000-0000-000088010000}"/>
    <cellStyle name="Normal 5 3 3" xfId="395" xr:uid="{00000000-0005-0000-0000-000089010000}"/>
    <cellStyle name="Normal 5 3 3 2" xfId="396" xr:uid="{00000000-0005-0000-0000-00008A010000}"/>
    <cellStyle name="Normal 5 3 3 2 2" xfId="397" xr:uid="{00000000-0005-0000-0000-00008B010000}"/>
    <cellStyle name="Normal 5 3 3 3" xfId="398" xr:uid="{00000000-0005-0000-0000-00008C010000}"/>
    <cellStyle name="Normal 5 3 4" xfId="399" xr:uid="{00000000-0005-0000-0000-00008D010000}"/>
    <cellStyle name="Normal 5 3 4 2" xfId="400" xr:uid="{00000000-0005-0000-0000-00008E010000}"/>
    <cellStyle name="Normal 5 3 4 2 2" xfId="401" xr:uid="{00000000-0005-0000-0000-00008F010000}"/>
    <cellStyle name="Normal 5 3 4 3" xfId="402" xr:uid="{00000000-0005-0000-0000-000090010000}"/>
    <cellStyle name="Normal 5 3 5" xfId="403" xr:uid="{00000000-0005-0000-0000-000091010000}"/>
    <cellStyle name="Normal 5 3 5 2" xfId="404" xr:uid="{00000000-0005-0000-0000-000092010000}"/>
    <cellStyle name="Normal 5 3 6" xfId="405" xr:uid="{00000000-0005-0000-0000-000093010000}"/>
    <cellStyle name="Normal 5 3 7" xfId="406" xr:uid="{00000000-0005-0000-0000-000094010000}"/>
    <cellStyle name="Normal 5 4" xfId="407" xr:uid="{00000000-0005-0000-0000-000095010000}"/>
    <cellStyle name="Normal 5 4 2" xfId="408" xr:uid="{00000000-0005-0000-0000-000096010000}"/>
    <cellStyle name="Normal 5 4 2 2" xfId="409" xr:uid="{00000000-0005-0000-0000-000097010000}"/>
    <cellStyle name="Normal 5 4 2 2 2" xfId="410" xr:uid="{00000000-0005-0000-0000-000098010000}"/>
    <cellStyle name="Normal 5 4 2 3" xfId="411" xr:uid="{00000000-0005-0000-0000-000099010000}"/>
    <cellStyle name="Normal 5 4 3" xfId="412" xr:uid="{00000000-0005-0000-0000-00009A010000}"/>
    <cellStyle name="Normal 5 4 3 2" xfId="413" xr:uid="{00000000-0005-0000-0000-00009B010000}"/>
    <cellStyle name="Normal 5 4 4" xfId="414" xr:uid="{00000000-0005-0000-0000-00009C010000}"/>
    <cellStyle name="Normal 5 5" xfId="415" xr:uid="{00000000-0005-0000-0000-00009D010000}"/>
    <cellStyle name="Normal 5 5 2" xfId="416" xr:uid="{00000000-0005-0000-0000-00009E010000}"/>
    <cellStyle name="Normal 5 5 2 2" xfId="417" xr:uid="{00000000-0005-0000-0000-00009F010000}"/>
    <cellStyle name="Normal 5 5 2 2 2" xfId="418" xr:uid="{00000000-0005-0000-0000-0000A0010000}"/>
    <cellStyle name="Normal 5 5 2 3" xfId="419" xr:uid="{00000000-0005-0000-0000-0000A1010000}"/>
    <cellStyle name="Normal 5 5 3" xfId="420" xr:uid="{00000000-0005-0000-0000-0000A2010000}"/>
    <cellStyle name="Normal 5 5 3 2" xfId="421" xr:uid="{00000000-0005-0000-0000-0000A3010000}"/>
    <cellStyle name="Normal 5 5 3 2 2" xfId="422" xr:uid="{00000000-0005-0000-0000-0000A4010000}"/>
    <cellStyle name="Normal 5 5 3 3" xfId="423" xr:uid="{00000000-0005-0000-0000-0000A5010000}"/>
    <cellStyle name="Normal 5 5 4" xfId="424" xr:uid="{00000000-0005-0000-0000-0000A6010000}"/>
    <cellStyle name="Normal 5 5 4 2" xfId="425" xr:uid="{00000000-0005-0000-0000-0000A7010000}"/>
    <cellStyle name="Normal 5 5 5" xfId="426" xr:uid="{00000000-0005-0000-0000-0000A8010000}"/>
    <cellStyle name="Normal 5 6" xfId="427" xr:uid="{00000000-0005-0000-0000-0000A9010000}"/>
    <cellStyle name="Normal 5 6 2" xfId="428" xr:uid="{00000000-0005-0000-0000-0000AA010000}"/>
    <cellStyle name="Normal 5 6 2 2" xfId="429" xr:uid="{00000000-0005-0000-0000-0000AB010000}"/>
    <cellStyle name="Normal 5 6 2 2 2" xfId="430" xr:uid="{00000000-0005-0000-0000-0000AC010000}"/>
    <cellStyle name="Normal 5 6 2 3" xfId="431" xr:uid="{00000000-0005-0000-0000-0000AD010000}"/>
    <cellStyle name="Normal 5 6 3" xfId="432" xr:uid="{00000000-0005-0000-0000-0000AE010000}"/>
    <cellStyle name="Normal 5 6 3 2" xfId="433" xr:uid="{00000000-0005-0000-0000-0000AF010000}"/>
    <cellStyle name="Normal 5 6 4" xfId="434" xr:uid="{00000000-0005-0000-0000-0000B0010000}"/>
    <cellStyle name="Normal 5 7" xfId="435" xr:uid="{00000000-0005-0000-0000-0000B1010000}"/>
    <cellStyle name="Normal 5 7 2" xfId="436" xr:uid="{00000000-0005-0000-0000-0000B2010000}"/>
    <cellStyle name="Normal 5 7 2 2" xfId="437" xr:uid="{00000000-0005-0000-0000-0000B3010000}"/>
    <cellStyle name="Normal 5 7 2 2 2" xfId="438" xr:uid="{00000000-0005-0000-0000-0000B4010000}"/>
    <cellStyle name="Normal 5 7 2 2 2 2" xfId="439" xr:uid="{00000000-0005-0000-0000-0000B5010000}"/>
    <cellStyle name="Normal 5 7 2 2 2 2 2" xfId="440" xr:uid="{00000000-0005-0000-0000-0000B6010000}"/>
    <cellStyle name="Normal 5 7 2 2 2 2 2 2" xfId="441" xr:uid="{00000000-0005-0000-0000-0000B7010000}"/>
    <cellStyle name="Normal 5 7 2 2 3" xfId="442" xr:uid="{00000000-0005-0000-0000-0000B8010000}"/>
    <cellStyle name="Normal 5 7 2 3" xfId="443" xr:uid="{00000000-0005-0000-0000-0000B9010000}"/>
    <cellStyle name="Normal 5 7 2 3 2" xfId="444" xr:uid="{00000000-0005-0000-0000-0000BA010000}"/>
    <cellStyle name="Normal 5 7 2 4" xfId="445" xr:uid="{00000000-0005-0000-0000-0000BB010000}"/>
    <cellStyle name="Normal 5 7 3" xfId="446" xr:uid="{00000000-0005-0000-0000-0000BC010000}"/>
    <cellStyle name="Normal 5 7 3 2" xfId="447" xr:uid="{00000000-0005-0000-0000-0000BD010000}"/>
    <cellStyle name="Normal 5 7 3 2 2" xfId="448" xr:uid="{00000000-0005-0000-0000-0000BE010000}"/>
    <cellStyle name="Normal 5 7 3 3" xfId="449" xr:uid="{00000000-0005-0000-0000-0000BF010000}"/>
    <cellStyle name="Normal 5 7 4" xfId="450" xr:uid="{00000000-0005-0000-0000-0000C0010000}"/>
    <cellStyle name="Normal 5 7 4 2" xfId="451" xr:uid="{00000000-0005-0000-0000-0000C1010000}"/>
    <cellStyle name="Normal 5 7 4 3" xfId="452" xr:uid="{00000000-0005-0000-0000-0000C2010000}"/>
    <cellStyle name="Normal 5 7 5" xfId="453" xr:uid="{00000000-0005-0000-0000-0000C3010000}"/>
    <cellStyle name="Normal 5 7 6" xfId="454" xr:uid="{00000000-0005-0000-0000-0000C4010000}"/>
    <cellStyle name="Normal 5 8" xfId="455" xr:uid="{00000000-0005-0000-0000-0000C5010000}"/>
    <cellStyle name="Normal 5 8 2" xfId="456" xr:uid="{00000000-0005-0000-0000-0000C6010000}"/>
    <cellStyle name="Normal 5 8 2 2" xfId="457" xr:uid="{00000000-0005-0000-0000-0000C7010000}"/>
    <cellStyle name="Normal 5 8 3" xfId="458" xr:uid="{00000000-0005-0000-0000-0000C8010000}"/>
    <cellStyle name="Normal 5 9" xfId="459" xr:uid="{00000000-0005-0000-0000-0000C9010000}"/>
    <cellStyle name="Normal 5 9 2" xfId="460" xr:uid="{00000000-0005-0000-0000-0000CA010000}"/>
    <cellStyle name="Normal 5 9 2 2" xfId="461" xr:uid="{00000000-0005-0000-0000-0000CB010000}"/>
    <cellStyle name="Normal 5 9 2 3" xfId="462" xr:uid="{00000000-0005-0000-0000-0000CC010000}"/>
    <cellStyle name="Normal 5 9 3" xfId="463" xr:uid="{00000000-0005-0000-0000-0000CD010000}"/>
    <cellStyle name="Normal 5 9 3 2" xfId="464" xr:uid="{00000000-0005-0000-0000-0000CE010000}"/>
    <cellStyle name="Normal 5 9 4" xfId="465" xr:uid="{00000000-0005-0000-0000-0000CF010000}"/>
    <cellStyle name="Normal 5 9 4 2" xfId="466" xr:uid="{00000000-0005-0000-0000-0000D0010000}"/>
    <cellStyle name="Normal 5 9 5" xfId="467" xr:uid="{00000000-0005-0000-0000-0000D1010000}"/>
    <cellStyle name="Normal 5_IE Docket-93073" xfId="468" xr:uid="{00000000-0005-0000-0000-0000D2010000}"/>
    <cellStyle name="Normal 6" xfId="469" xr:uid="{00000000-0005-0000-0000-0000D3010000}"/>
    <cellStyle name="Normal 6 2" xfId="470" xr:uid="{00000000-0005-0000-0000-0000D4010000}"/>
    <cellStyle name="Normal 6 3" xfId="471" xr:uid="{00000000-0005-0000-0000-0000D5010000}"/>
    <cellStyle name="Normal 6 4" xfId="472" xr:uid="{00000000-0005-0000-0000-0000D6010000}"/>
    <cellStyle name="Normal 6 5" xfId="473" xr:uid="{00000000-0005-0000-0000-0000D7010000}"/>
    <cellStyle name="Normal 6 6" xfId="474" xr:uid="{00000000-0005-0000-0000-0000D8010000}"/>
    <cellStyle name="Normal 6 7" xfId="475" xr:uid="{00000000-0005-0000-0000-0000D9010000}"/>
    <cellStyle name="Normal 6 8" xfId="476" xr:uid="{00000000-0005-0000-0000-0000DA010000}"/>
    <cellStyle name="Normal 6 9" xfId="477" xr:uid="{00000000-0005-0000-0000-0000DB010000}"/>
    <cellStyle name="Normal 7" xfId="478" xr:uid="{00000000-0005-0000-0000-0000DC010000}"/>
    <cellStyle name="Normal 7 2" xfId="479" xr:uid="{00000000-0005-0000-0000-0000DD010000}"/>
    <cellStyle name="Normal 7 2 2" xfId="480" xr:uid="{00000000-0005-0000-0000-0000DE010000}"/>
    <cellStyle name="Normal 7 3" xfId="481" xr:uid="{00000000-0005-0000-0000-0000DF010000}"/>
    <cellStyle name="Normal 7 3 2" xfId="482" xr:uid="{00000000-0005-0000-0000-0000E0010000}"/>
    <cellStyle name="Normal 8" xfId="483" xr:uid="{00000000-0005-0000-0000-0000E1010000}"/>
    <cellStyle name="Normal 8 2" xfId="484" xr:uid="{00000000-0005-0000-0000-0000E2010000}"/>
    <cellStyle name="Normal 8 2 2" xfId="485" xr:uid="{00000000-0005-0000-0000-0000E3010000}"/>
    <cellStyle name="Normal 9" xfId="486" xr:uid="{00000000-0005-0000-0000-0000E4010000}"/>
    <cellStyle name="Normal 9 2" xfId="487" xr:uid="{00000000-0005-0000-0000-0000E5010000}"/>
    <cellStyle name="Normal_OPERATION BULLETIN MRS 55" xfId="3" xr:uid="{00000000-0005-0000-0000-0000E6010000}"/>
    <cellStyle name="Note 10 2" xfId="488" xr:uid="{00000000-0005-0000-0000-0000E7010000}"/>
    <cellStyle name="Note 10 3" xfId="489" xr:uid="{00000000-0005-0000-0000-0000E8010000}"/>
    <cellStyle name="Note 10 4" xfId="490" xr:uid="{00000000-0005-0000-0000-0000E9010000}"/>
    <cellStyle name="Note 10 5" xfId="491" xr:uid="{00000000-0005-0000-0000-0000EA010000}"/>
    <cellStyle name="Note 10 6" xfId="492" xr:uid="{00000000-0005-0000-0000-0000EB010000}"/>
    <cellStyle name="Note 100 2" xfId="493" xr:uid="{00000000-0005-0000-0000-0000EC010000}"/>
    <cellStyle name="Note 100 3" xfId="494" xr:uid="{00000000-0005-0000-0000-0000ED010000}"/>
    <cellStyle name="Note 100 4" xfId="495" xr:uid="{00000000-0005-0000-0000-0000EE010000}"/>
    <cellStyle name="Note 100 5" xfId="496" xr:uid="{00000000-0005-0000-0000-0000EF010000}"/>
    <cellStyle name="Note 100 6" xfId="497" xr:uid="{00000000-0005-0000-0000-0000F0010000}"/>
    <cellStyle name="Note 101 2" xfId="498" xr:uid="{00000000-0005-0000-0000-0000F1010000}"/>
    <cellStyle name="Note 101 3" xfId="499" xr:uid="{00000000-0005-0000-0000-0000F2010000}"/>
    <cellStyle name="Note 101 4" xfId="500" xr:uid="{00000000-0005-0000-0000-0000F3010000}"/>
    <cellStyle name="Note 101 5" xfId="501" xr:uid="{00000000-0005-0000-0000-0000F4010000}"/>
    <cellStyle name="Note 101 6" xfId="502" xr:uid="{00000000-0005-0000-0000-0000F5010000}"/>
    <cellStyle name="Note 102 2" xfId="503" xr:uid="{00000000-0005-0000-0000-0000F6010000}"/>
    <cellStyle name="Note 102 3" xfId="504" xr:uid="{00000000-0005-0000-0000-0000F7010000}"/>
    <cellStyle name="Note 102 4" xfId="505" xr:uid="{00000000-0005-0000-0000-0000F8010000}"/>
    <cellStyle name="Note 102 5" xfId="506" xr:uid="{00000000-0005-0000-0000-0000F9010000}"/>
    <cellStyle name="Note 102 6" xfId="507" xr:uid="{00000000-0005-0000-0000-0000FA010000}"/>
    <cellStyle name="Note 103 2" xfId="508" xr:uid="{00000000-0005-0000-0000-0000FB010000}"/>
    <cellStyle name="Note 103 3" xfId="509" xr:uid="{00000000-0005-0000-0000-0000FC010000}"/>
    <cellStyle name="Note 103 4" xfId="510" xr:uid="{00000000-0005-0000-0000-0000FD010000}"/>
    <cellStyle name="Note 103 5" xfId="511" xr:uid="{00000000-0005-0000-0000-0000FE010000}"/>
    <cellStyle name="Note 103 6" xfId="512" xr:uid="{00000000-0005-0000-0000-0000FF010000}"/>
    <cellStyle name="Note 104 2" xfId="513" xr:uid="{00000000-0005-0000-0000-000000020000}"/>
    <cellStyle name="Note 104 3" xfId="514" xr:uid="{00000000-0005-0000-0000-000001020000}"/>
    <cellStyle name="Note 104 4" xfId="515" xr:uid="{00000000-0005-0000-0000-000002020000}"/>
    <cellStyle name="Note 104 5" xfId="516" xr:uid="{00000000-0005-0000-0000-000003020000}"/>
    <cellStyle name="Note 104 6" xfId="517" xr:uid="{00000000-0005-0000-0000-000004020000}"/>
    <cellStyle name="Note 105 2" xfId="518" xr:uid="{00000000-0005-0000-0000-000005020000}"/>
    <cellStyle name="Note 105 3" xfId="519" xr:uid="{00000000-0005-0000-0000-000006020000}"/>
    <cellStyle name="Note 105 4" xfId="520" xr:uid="{00000000-0005-0000-0000-000007020000}"/>
    <cellStyle name="Note 105 5" xfId="521" xr:uid="{00000000-0005-0000-0000-000008020000}"/>
    <cellStyle name="Note 105 6" xfId="522" xr:uid="{00000000-0005-0000-0000-000009020000}"/>
    <cellStyle name="Note 106 2" xfId="523" xr:uid="{00000000-0005-0000-0000-00000A020000}"/>
    <cellStyle name="Note 106 3" xfId="524" xr:uid="{00000000-0005-0000-0000-00000B020000}"/>
    <cellStyle name="Note 106 4" xfId="525" xr:uid="{00000000-0005-0000-0000-00000C020000}"/>
    <cellStyle name="Note 106 5" xfId="526" xr:uid="{00000000-0005-0000-0000-00000D020000}"/>
    <cellStyle name="Note 106 6" xfId="527" xr:uid="{00000000-0005-0000-0000-00000E020000}"/>
    <cellStyle name="Note 107 2" xfId="528" xr:uid="{00000000-0005-0000-0000-00000F020000}"/>
    <cellStyle name="Note 107 3" xfId="529" xr:uid="{00000000-0005-0000-0000-000010020000}"/>
    <cellStyle name="Note 107 4" xfId="530" xr:uid="{00000000-0005-0000-0000-000011020000}"/>
    <cellStyle name="Note 107 5" xfId="531" xr:uid="{00000000-0005-0000-0000-000012020000}"/>
    <cellStyle name="Note 107 6" xfId="532" xr:uid="{00000000-0005-0000-0000-000013020000}"/>
    <cellStyle name="Note 108 2" xfId="533" xr:uid="{00000000-0005-0000-0000-000014020000}"/>
    <cellStyle name="Note 108 3" xfId="534" xr:uid="{00000000-0005-0000-0000-000015020000}"/>
    <cellStyle name="Note 108 4" xfId="535" xr:uid="{00000000-0005-0000-0000-000016020000}"/>
    <cellStyle name="Note 108 5" xfId="536" xr:uid="{00000000-0005-0000-0000-000017020000}"/>
    <cellStyle name="Note 108 6" xfId="537" xr:uid="{00000000-0005-0000-0000-000018020000}"/>
    <cellStyle name="Note 109 2" xfId="538" xr:uid="{00000000-0005-0000-0000-000019020000}"/>
    <cellStyle name="Note 109 3" xfId="539" xr:uid="{00000000-0005-0000-0000-00001A020000}"/>
    <cellStyle name="Note 109 4" xfId="540" xr:uid="{00000000-0005-0000-0000-00001B020000}"/>
    <cellStyle name="Note 109 5" xfId="541" xr:uid="{00000000-0005-0000-0000-00001C020000}"/>
    <cellStyle name="Note 109 6" xfId="542" xr:uid="{00000000-0005-0000-0000-00001D020000}"/>
    <cellStyle name="Note 11 2" xfId="543" xr:uid="{00000000-0005-0000-0000-00001E020000}"/>
    <cellStyle name="Note 11 3" xfId="544" xr:uid="{00000000-0005-0000-0000-00001F020000}"/>
    <cellStyle name="Note 11 4" xfId="545" xr:uid="{00000000-0005-0000-0000-000020020000}"/>
    <cellStyle name="Note 11 5" xfId="546" xr:uid="{00000000-0005-0000-0000-000021020000}"/>
    <cellStyle name="Note 11 6" xfId="547" xr:uid="{00000000-0005-0000-0000-000022020000}"/>
    <cellStyle name="Note 110 2" xfId="548" xr:uid="{00000000-0005-0000-0000-000023020000}"/>
    <cellStyle name="Note 110 3" xfId="549" xr:uid="{00000000-0005-0000-0000-000024020000}"/>
    <cellStyle name="Note 110 4" xfId="550" xr:uid="{00000000-0005-0000-0000-000025020000}"/>
    <cellStyle name="Note 110 5" xfId="551" xr:uid="{00000000-0005-0000-0000-000026020000}"/>
    <cellStyle name="Note 110 6" xfId="552" xr:uid="{00000000-0005-0000-0000-000027020000}"/>
    <cellStyle name="Note 111 2" xfId="553" xr:uid="{00000000-0005-0000-0000-000028020000}"/>
    <cellStyle name="Note 111 3" xfId="554" xr:uid="{00000000-0005-0000-0000-000029020000}"/>
    <cellStyle name="Note 111 4" xfId="555" xr:uid="{00000000-0005-0000-0000-00002A020000}"/>
    <cellStyle name="Note 111 5" xfId="556" xr:uid="{00000000-0005-0000-0000-00002B020000}"/>
    <cellStyle name="Note 111 6" xfId="557" xr:uid="{00000000-0005-0000-0000-00002C020000}"/>
    <cellStyle name="Note 112 2" xfId="558" xr:uid="{00000000-0005-0000-0000-00002D020000}"/>
    <cellStyle name="Note 112 3" xfId="559" xr:uid="{00000000-0005-0000-0000-00002E020000}"/>
    <cellStyle name="Note 112 4" xfId="560" xr:uid="{00000000-0005-0000-0000-00002F020000}"/>
    <cellStyle name="Note 112 5" xfId="561" xr:uid="{00000000-0005-0000-0000-000030020000}"/>
    <cellStyle name="Note 112 6" xfId="562" xr:uid="{00000000-0005-0000-0000-000031020000}"/>
    <cellStyle name="Note 113 2" xfId="563" xr:uid="{00000000-0005-0000-0000-000032020000}"/>
    <cellStyle name="Note 113 3" xfId="564" xr:uid="{00000000-0005-0000-0000-000033020000}"/>
    <cellStyle name="Note 113 4" xfId="565" xr:uid="{00000000-0005-0000-0000-000034020000}"/>
    <cellStyle name="Note 113 5" xfId="566" xr:uid="{00000000-0005-0000-0000-000035020000}"/>
    <cellStyle name="Note 113 6" xfId="567" xr:uid="{00000000-0005-0000-0000-000036020000}"/>
    <cellStyle name="Note 114 2" xfId="568" xr:uid="{00000000-0005-0000-0000-000037020000}"/>
    <cellStyle name="Note 114 3" xfId="569" xr:uid="{00000000-0005-0000-0000-000038020000}"/>
    <cellStyle name="Note 114 4" xfId="570" xr:uid="{00000000-0005-0000-0000-000039020000}"/>
    <cellStyle name="Note 114 5" xfId="571" xr:uid="{00000000-0005-0000-0000-00003A020000}"/>
    <cellStyle name="Note 114 6" xfId="572" xr:uid="{00000000-0005-0000-0000-00003B020000}"/>
    <cellStyle name="Note 115 2" xfId="573" xr:uid="{00000000-0005-0000-0000-00003C020000}"/>
    <cellStyle name="Note 115 3" xfId="574" xr:uid="{00000000-0005-0000-0000-00003D020000}"/>
    <cellStyle name="Note 115 4" xfId="575" xr:uid="{00000000-0005-0000-0000-00003E020000}"/>
    <cellStyle name="Note 115 5" xfId="576" xr:uid="{00000000-0005-0000-0000-00003F020000}"/>
    <cellStyle name="Note 115 6" xfId="577" xr:uid="{00000000-0005-0000-0000-000040020000}"/>
    <cellStyle name="Note 116 2" xfId="578" xr:uid="{00000000-0005-0000-0000-000041020000}"/>
    <cellStyle name="Note 116 3" xfId="579" xr:uid="{00000000-0005-0000-0000-000042020000}"/>
    <cellStyle name="Note 116 4" xfId="580" xr:uid="{00000000-0005-0000-0000-000043020000}"/>
    <cellStyle name="Note 116 5" xfId="581" xr:uid="{00000000-0005-0000-0000-000044020000}"/>
    <cellStyle name="Note 116 6" xfId="582" xr:uid="{00000000-0005-0000-0000-000045020000}"/>
    <cellStyle name="Note 117 2" xfId="583" xr:uid="{00000000-0005-0000-0000-000046020000}"/>
    <cellStyle name="Note 117 3" xfId="584" xr:uid="{00000000-0005-0000-0000-000047020000}"/>
    <cellStyle name="Note 117 4" xfId="585" xr:uid="{00000000-0005-0000-0000-000048020000}"/>
    <cellStyle name="Note 117 5" xfId="586" xr:uid="{00000000-0005-0000-0000-000049020000}"/>
    <cellStyle name="Note 117 6" xfId="587" xr:uid="{00000000-0005-0000-0000-00004A020000}"/>
    <cellStyle name="Note 118 2" xfId="588" xr:uid="{00000000-0005-0000-0000-00004B020000}"/>
    <cellStyle name="Note 118 3" xfId="589" xr:uid="{00000000-0005-0000-0000-00004C020000}"/>
    <cellStyle name="Note 118 4" xfId="590" xr:uid="{00000000-0005-0000-0000-00004D020000}"/>
    <cellStyle name="Note 118 5" xfId="591" xr:uid="{00000000-0005-0000-0000-00004E020000}"/>
    <cellStyle name="Note 118 6" xfId="592" xr:uid="{00000000-0005-0000-0000-00004F020000}"/>
    <cellStyle name="Note 119 2" xfId="593" xr:uid="{00000000-0005-0000-0000-000050020000}"/>
    <cellStyle name="Note 119 3" xfId="594" xr:uid="{00000000-0005-0000-0000-000051020000}"/>
    <cellStyle name="Note 119 4" xfId="595" xr:uid="{00000000-0005-0000-0000-000052020000}"/>
    <cellStyle name="Note 119 5" xfId="596" xr:uid="{00000000-0005-0000-0000-000053020000}"/>
    <cellStyle name="Note 119 6" xfId="597" xr:uid="{00000000-0005-0000-0000-000054020000}"/>
    <cellStyle name="Note 12 2" xfId="598" xr:uid="{00000000-0005-0000-0000-000055020000}"/>
    <cellStyle name="Note 12 3" xfId="599" xr:uid="{00000000-0005-0000-0000-000056020000}"/>
    <cellStyle name="Note 12 4" xfId="600" xr:uid="{00000000-0005-0000-0000-000057020000}"/>
    <cellStyle name="Note 12 5" xfId="601" xr:uid="{00000000-0005-0000-0000-000058020000}"/>
    <cellStyle name="Note 12 6" xfId="602" xr:uid="{00000000-0005-0000-0000-000059020000}"/>
    <cellStyle name="Note 120 2" xfId="603" xr:uid="{00000000-0005-0000-0000-00005A020000}"/>
    <cellStyle name="Note 120 3" xfId="604" xr:uid="{00000000-0005-0000-0000-00005B020000}"/>
    <cellStyle name="Note 120 4" xfId="605" xr:uid="{00000000-0005-0000-0000-00005C020000}"/>
    <cellStyle name="Note 120 5" xfId="606" xr:uid="{00000000-0005-0000-0000-00005D020000}"/>
    <cellStyle name="Note 120 6" xfId="607" xr:uid="{00000000-0005-0000-0000-00005E020000}"/>
    <cellStyle name="Note 121 2" xfId="608" xr:uid="{00000000-0005-0000-0000-00005F020000}"/>
    <cellStyle name="Note 121 3" xfId="609" xr:uid="{00000000-0005-0000-0000-000060020000}"/>
    <cellStyle name="Note 121 4" xfId="610" xr:uid="{00000000-0005-0000-0000-000061020000}"/>
    <cellStyle name="Note 121 5" xfId="611" xr:uid="{00000000-0005-0000-0000-000062020000}"/>
    <cellStyle name="Note 121 6" xfId="612" xr:uid="{00000000-0005-0000-0000-000063020000}"/>
    <cellStyle name="Note 122 2" xfId="613" xr:uid="{00000000-0005-0000-0000-000064020000}"/>
    <cellStyle name="Note 122 3" xfId="614" xr:uid="{00000000-0005-0000-0000-000065020000}"/>
    <cellStyle name="Note 122 4" xfId="615" xr:uid="{00000000-0005-0000-0000-000066020000}"/>
    <cellStyle name="Note 122 5" xfId="616" xr:uid="{00000000-0005-0000-0000-000067020000}"/>
    <cellStyle name="Note 122 6" xfId="617" xr:uid="{00000000-0005-0000-0000-000068020000}"/>
    <cellStyle name="Note 123 2" xfId="618" xr:uid="{00000000-0005-0000-0000-000069020000}"/>
    <cellStyle name="Note 123 3" xfId="619" xr:uid="{00000000-0005-0000-0000-00006A020000}"/>
    <cellStyle name="Note 123 4" xfId="620" xr:uid="{00000000-0005-0000-0000-00006B020000}"/>
    <cellStyle name="Note 123 5" xfId="621" xr:uid="{00000000-0005-0000-0000-00006C020000}"/>
    <cellStyle name="Note 123 6" xfId="622" xr:uid="{00000000-0005-0000-0000-00006D020000}"/>
    <cellStyle name="Note 124 2" xfId="623" xr:uid="{00000000-0005-0000-0000-00006E020000}"/>
    <cellStyle name="Note 124 3" xfId="624" xr:uid="{00000000-0005-0000-0000-00006F020000}"/>
    <cellStyle name="Note 124 4" xfId="625" xr:uid="{00000000-0005-0000-0000-000070020000}"/>
    <cellStyle name="Note 124 5" xfId="626" xr:uid="{00000000-0005-0000-0000-000071020000}"/>
    <cellStyle name="Note 124 6" xfId="627" xr:uid="{00000000-0005-0000-0000-000072020000}"/>
    <cellStyle name="Note 125 2" xfId="628" xr:uid="{00000000-0005-0000-0000-000073020000}"/>
    <cellStyle name="Note 125 3" xfId="629" xr:uid="{00000000-0005-0000-0000-000074020000}"/>
    <cellStyle name="Note 125 4" xfId="630" xr:uid="{00000000-0005-0000-0000-000075020000}"/>
    <cellStyle name="Note 125 5" xfId="631" xr:uid="{00000000-0005-0000-0000-000076020000}"/>
    <cellStyle name="Note 125 6" xfId="632" xr:uid="{00000000-0005-0000-0000-000077020000}"/>
    <cellStyle name="Note 126 2" xfId="633" xr:uid="{00000000-0005-0000-0000-000078020000}"/>
    <cellStyle name="Note 126 3" xfId="634" xr:uid="{00000000-0005-0000-0000-000079020000}"/>
    <cellStyle name="Note 126 4" xfId="635" xr:uid="{00000000-0005-0000-0000-00007A020000}"/>
    <cellStyle name="Note 126 5" xfId="636" xr:uid="{00000000-0005-0000-0000-00007B020000}"/>
    <cellStyle name="Note 126 6" xfId="637" xr:uid="{00000000-0005-0000-0000-00007C020000}"/>
    <cellStyle name="Note 127 2" xfId="638" xr:uid="{00000000-0005-0000-0000-00007D020000}"/>
    <cellStyle name="Note 127 3" xfId="639" xr:uid="{00000000-0005-0000-0000-00007E020000}"/>
    <cellStyle name="Note 127 4" xfId="640" xr:uid="{00000000-0005-0000-0000-00007F020000}"/>
    <cellStyle name="Note 127 5" xfId="641" xr:uid="{00000000-0005-0000-0000-000080020000}"/>
    <cellStyle name="Note 127 6" xfId="642" xr:uid="{00000000-0005-0000-0000-000081020000}"/>
    <cellStyle name="Note 128 2" xfId="643" xr:uid="{00000000-0005-0000-0000-000082020000}"/>
    <cellStyle name="Note 128 3" xfId="644" xr:uid="{00000000-0005-0000-0000-000083020000}"/>
    <cellStyle name="Note 128 4" xfId="645" xr:uid="{00000000-0005-0000-0000-000084020000}"/>
    <cellStyle name="Note 128 5" xfId="646" xr:uid="{00000000-0005-0000-0000-000085020000}"/>
    <cellStyle name="Note 128 6" xfId="647" xr:uid="{00000000-0005-0000-0000-000086020000}"/>
    <cellStyle name="Note 129 2" xfId="648" xr:uid="{00000000-0005-0000-0000-000087020000}"/>
    <cellStyle name="Note 129 3" xfId="649" xr:uid="{00000000-0005-0000-0000-000088020000}"/>
    <cellStyle name="Note 129 4" xfId="650" xr:uid="{00000000-0005-0000-0000-000089020000}"/>
    <cellStyle name="Note 129 5" xfId="651" xr:uid="{00000000-0005-0000-0000-00008A020000}"/>
    <cellStyle name="Note 129 6" xfId="652" xr:uid="{00000000-0005-0000-0000-00008B020000}"/>
    <cellStyle name="Note 13 2" xfId="653" xr:uid="{00000000-0005-0000-0000-00008C020000}"/>
    <cellStyle name="Note 13 3" xfId="654" xr:uid="{00000000-0005-0000-0000-00008D020000}"/>
    <cellStyle name="Note 13 4" xfId="655" xr:uid="{00000000-0005-0000-0000-00008E020000}"/>
    <cellStyle name="Note 13 5" xfId="656" xr:uid="{00000000-0005-0000-0000-00008F020000}"/>
    <cellStyle name="Note 13 6" xfId="657" xr:uid="{00000000-0005-0000-0000-000090020000}"/>
    <cellStyle name="Note 130 2" xfId="658" xr:uid="{00000000-0005-0000-0000-000091020000}"/>
    <cellStyle name="Note 130 3" xfId="659" xr:uid="{00000000-0005-0000-0000-000092020000}"/>
    <cellStyle name="Note 130 4" xfId="660" xr:uid="{00000000-0005-0000-0000-000093020000}"/>
    <cellStyle name="Note 130 5" xfId="661" xr:uid="{00000000-0005-0000-0000-000094020000}"/>
    <cellStyle name="Note 130 6" xfId="662" xr:uid="{00000000-0005-0000-0000-000095020000}"/>
    <cellStyle name="Note 131 2" xfId="663" xr:uid="{00000000-0005-0000-0000-000096020000}"/>
    <cellStyle name="Note 131 3" xfId="664" xr:uid="{00000000-0005-0000-0000-000097020000}"/>
    <cellStyle name="Note 131 4" xfId="665" xr:uid="{00000000-0005-0000-0000-000098020000}"/>
    <cellStyle name="Note 131 5" xfId="666" xr:uid="{00000000-0005-0000-0000-000099020000}"/>
    <cellStyle name="Note 131 6" xfId="667" xr:uid="{00000000-0005-0000-0000-00009A020000}"/>
    <cellStyle name="Note 132 2" xfId="668" xr:uid="{00000000-0005-0000-0000-00009B020000}"/>
    <cellStyle name="Note 132 3" xfId="669" xr:uid="{00000000-0005-0000-0000-00009C020000}"/>
    <cellStyle name="Note 132 4" xfId="670" xr:uid="{00000000-0005-0000-0000-00009D020000}"/>
    <cellStyle name="Note 132 5" xfId="671" xr:uid="{00000000-0005-0000-0000-00009E020000}"/>
    <cellStyle name="Note 132 6" xfId="672" xr:uid="{00000000-0005-0000-0000-00009F020000}"/>
    <cellStyle name="Note 133 2" xfId="673" xr:uid="{00000000-0005-0000-0000-0000A0020000}"/>
    <cellStyle name="Note 133 3" xfId="674" xr:uid="{00000000-0005-0000-0000-0000A1020000}"/>
    <cellStyle name="Note 133 4" xfId="675" xr:uid="{00000000-0005-0000-0000-0000A2020000}"/>
    <cellStyle name="Note 133 5" xfId="676" xr:uid="{00000000-0005-0000-0000-0000A3020000}"/>
    <cellStyle name="Note 133 6" xfId="677" xr:uid="{00000000-0005-0000-0000-0000A4020000}"/>
    <cellStyle name="Note 134 2" xfId="678" xr:uid="{00000000-0005-0000-0000-0000A5020000}"/>
    <cellStyle name="Note 134 3" xfId="679" xr:uid="{00000000-0005-0000-0000-0000A6020000}"/>
    <cellStyle name="Note 134 4" xfId="680" xr:uid="{00000000-0005-0000-0000-0000A7020000}"/>
    <cellStyle name="Note 134 5" xfId="681" xr:uid="{00000000-0005-0000-0000-0000A8020000}"/>
    <cellStyle name="Note 134 6" xfId="682" xr:uid="{00000000-0005-0000-0000-0000A9020000}"/>
    <cellStyle name="Note 135 2" xfId="683" xr:uid="{00000000-0005-0000-0000-0000AA020000}"/>
    <cellStyle name="Note 135 3" xfId="684" xr:uid="{00000000-0005-0000-0000-0000AB020000}"/>
    <cellStyle name="Note 135 4" xfId="685" xr:uid="{00000000-0005-0000-0000-0000AC020000}"/>
    <cellStyle name="Note 135 5" xfId="686" xr:uid="{00000000-0005-0000-0000-0000AD020000}"/>
    <cellStyle name="Note 135 6" xfId="687" xr:uid="{00000000-0005-0000-0000-0000AE020000}"/>
    <cellStyle name="Note 136 2" xfId="688" xr:uid="{00000000-0005-0000-0000-0000AF020000}"/>
    <cellStyle name="Note 136 3" xfId="689" xr:uid="{00000000-0005-0000-0000-0000B0020000}"/>
    <cellStyle name="Note 136 4" xfId="690" xr:uid="{00000000-0005-0000-0000-0000B1020000}"/>
    <cellStyle name="Note 136 5" xfId="691" xr:uid="{00000000-0005-0000-0000-0000B2020000}"/>
    <cellStyle name="Note 136 6" xfId="692" xr:uid="{00000000-0005-0000-0000-0000B3020000}"/>
    <cellStyle name="Note 137 2" xfId="693" xr:uid="{00000000-0005-0000-0000-0000B4020000}"/>
    <cellStyle name="Note 137 3" xfId="694" xr:uid="{00000000-0005-0000-0000-0000B5020000}"/>
    <cellStyle name="Note 137 4" xfId="695" xr:uid="{00000000-0005-0000-0000-0000B6020000}"/>
    <cellStyle name="Note 137 5" xfId="696" xr:uid="{00000000-0005-0000-0000-0000B7020000}"/>
    <cellStyle name="Note 137 6" xfId="697" xr:uid="{00000000-0005-0000-0000-0000B8020000}"/>
    <cellStyle name="Note 138 2" xfId="698" xr:uid="{00000000-0005-0000-0000-0000B9020000}"/>
    <cellStyle name="Note 138 3" xfId="699" xr:uid="{00000000-0005-0000-0000-0000BA020000}"/>
    <cellStyle name="Note 138 4" xfId="700" xr:uid="{00000000-0005-0000-0000-0000BB020000}"/>
    <cellStyle name="Note 138 5" xfId="701" xr:uid="{00000000-0005-0000-0000-0000BC020000}"/>
    <cellStyle name="Note 138 6" xfId="702" xr:uid="{00000000-0005-0000-0000-0000BD020000}"/>
    <cellStyle name="Note 139 2" xfId="703" xr:uid="{00000000-0005-0000-0000-0000BE020000}"/>
    <cellStyle name="Note 139 3" xfId="704" xr:uid="{00000000-0005-0000-0000-0000BF020000}"/>
    <cellStyle name="Note 139 4" xfId="705" xr:uid="{00000000-0005-0000-0000-0000C0020000}"/>
    <cellStyle name="Note 139 5" xfId="706" xr:uid="{00000000-0005-0000-0000-0000C1020000}"/>
    <cellStyle name="Note 139 6" xfId="707" xr:uid="{00000000-0005-0000-0000-0000C2020000}"/>
    <cellStyle name="Note 14 2" xfId="708" xr:uid="{00000000-0005-0000-0000-0000C3020000}"/>
    <cellStyle name="Note 14 3" xfId="709" xr:uid="{00000000-0005-0000-0000-0000C4020000}"/>
    <cellStyle name="Note 14 4" xfId="710" xr:uid="{00000000-0005-0000-0000-0000C5020000}"/>
    <cellStyle name="Note 14 5" xfId="711" xr:uid="{00000000-0005-0000-0000-0000C6020000}"/>
    <cellStyle name="Note 14 6" xfId="712" xr:uid="{00000000-0005-0000-0000-0000C7020000}"/>
    <cellStyle name="Note 140 2" xfId="713" xr:uid="{00000000-0005-0000-0000-0000C8020000}"/>
    <cellStyle name="Note 140 3" xfId="714" xr:uid="{00000000-0005-0000-0000-0000C9020000}"/>
    <cellStyle name="Note 140 4" xfId="715" xr:uid="{00000000-0005-0000-0000-0000CA020000}"/>
    <cellStyle name="Note 140 5" xfId="716" xr:uid="{00000000-0005-0000-0000-0000CB020000}"/>
    <cellStyle name="Note 140 6" xfId="717" xr:uid="{00000000-0005-0000-0000-0000CC020000}"/>
    <cellStyle name="Note 141 2" xfId="718" xr:uid="{00000000-0005-0000-0000-0000CD020000}"/>
    <cellStyle name="Note 141 3" xfId="719" xr:uid="{00000000-0005-0000-0000-0000CE020000}"/>
    <cellStyle name="Note 141 4" xfId="720" xr:uid="{00000000-0005-0000-0000-0000CF020000}"/>
    <cellStyle name="Note 141 5" xfId="721" xr:uid="{00000000-0005-0000-0000-0000D0020000}"/>
    <cellStyle name="Note 141 6" xfId="722" xr:uid="{00000000-0005-0000-0000-0000D1020000}"/>
    <cellStyle name="Note 142 2" xfId="723" xr:uid="{00000000-0005-0000-0000-0000D2020000}"/>
    <cellStyle name="Note 142 3" xfId="724" xr:uid="{00000000-0005-0000-0000-0000D3020000}"/>
    <cellStyle name="Note 142 4" xfId="725" xr:uid="{00000000-0005-0000-0000-0000D4020000}"/>
    <cellStyle name="Note 142 5" xfId="726" xr:uid="{00000000-0005-0000-0000-0000D5020000}"/>
    <cellStyle name="Note 142 6" xfId="727" xr:uid="{00000000-0005-0000-0000-0000D6020000}"/>
    <cellStyle name="Note 143 2" xfId="728" xr:uid="{00000000-0005-0000-0000-0000D7020000}"/>
    <cellStyle name="Note 143 3" xfId="729" xr:uid="{00000000-0005-0000-0000-0000D8020000}"/>
    <cellStyle name="Note 143 4" xfId="730" xr:uid="{00000000-0005-0000-0000-0000D9020000}"/>
    <cellStyle name="Note 143 5" xfId="731" xr:uid="{00000000-0005-0000-0000-0000DA020000}"/>
    <cellStyle name="Note 143 6" xfId="732" xr:uid="{00000000-0005-0000-0000-0000DB020000}"/>
    <cellStyle name="Note 144 2" xfId="733" xr:uid="{00000000-0005-0000-0000-0000DC020000}"/>
    <cellStyle name="Note 144 3" xfId="734" xr:uid="{00000000-0005-0000-0000-0000DD020000}"/>
    <cellStyle name="Note 144 4" xfId="735" xr:uid="{00000000-0005-0000-0000-0000DE020000}"/>
    <cellStyle name="Note 144 5" xfId="736" xr:uid="{00000000-0005-0000-0000-0000DF020000}"/>
    <cellStyle name="Note 144 6" xfId="737" xr:uid="{00000000-0005-0000-0000-0000E0020000}"/>
    <cellStyle name="Note 145 2" xfId="738" xr:uid="{00000000-0005-0000-0000-0000E1020000}"/>
    <cellStyle name="Note 145 3" xfId="739" xr:uid="{00000000-0005-0000-0000-0000E2020000}"/>
    <cellStyle name="Note 145 4" xfId="740" xr:uid="{00000000-0005-0000-0000-0000E3020000}"/>
    <cellStyle name="Note 145 5" xfId="741" xr:uid="{00000000-0005-0000-0000-0000E4020000}"/>
    <cellStyle name="Note 145 6" xfId="742" xr:uid="{00000000-0005-0000-0000-0000E5020000}"/>
    <cellStyle name="Note 146 2" xfId="743" xr:uid="{00000000-0005-0000-0000-0000E6020000}"/>
    <cellStyle name="Note 146 3" xfId="744" xr:uid="{00000000-0005-0000-0000-0000E7020000}"/>
    <cellStyle name="Note 146 4" xfId="745" xr:uid="{00000000-0005-0000-0000-0000E8020000}"/>
    <cellStyle name="Note 146 5" xfId="746" xr:uid="{00000000-0005-0000-0000-0000E9020000}"/>
    <cellStyle name="Note 146 6" xfId="747" xr:uid="{00000000-0005-0000-0000-0000EA020000}"/>
    <cellStyle name="Note 147 2" xfId="748" xr:uid="{00000000-0005-0000-0000-0000EB020000}"/>
    <cellStyle name="Note 147 3" xfId="749" xr:uid="{00000000-0005-0000-0000-0000EC020000}"/>
    <cellStyle name="Note 147 4" xfId="750" xr:uid="{00000000-0005-0000-0000-0000ED020000}"/>
    <cellStyle name="Note 147 5" xfId="751" xr:uid="{00000000-0005-0000-0000-0000EE020000}"/>
    <cellStyle name="Note 147 6" xfId="752" xr:uid="{00000000-0005-0000-0000-0000EF020000}"/>
    <cellStyle name="Note 148 2" xfId="753" xr:uid="{00000000-0005-0000-0000-0000F0020000}"/>
    <cellStyle name="Note 148 3" xfId="754" xr:uid="{00000000-0005-0000-0000-0000F1020000}"/>
    <cellStyle name="Note 148 4" xfId="755" xr:uid="{00000000-0005-0000-0000-0000F2020000}"/>
    <cellStyle name="Note 148 5" xfId="756" xr:uid="{00000000-0005-0000-0000-0000F3020000}"/>
    <cellStyle name="Note 148 6" xfId="757" xr:uid="{00000000-0005-0000-0000-0000F4020000}"/>
    <cellStyle name="Note 149 2" xfId="758" xr:uid="{00000000-0005-0000-0000-0000F5020000}"/>
    <cellStyle name="Note 149 3" xfId="759" xr:uid="{00000000-0005-0000-0000-0000F6020000}"/>
    <cellStyle name="Note 149 4" xfId="760" xr:uid="{00000000-0005-0000-0000-0000F7020000}"/>
    <cellStyle name="Note 149 5" xfId="761" xr:uid="{00000000-0005-0000-0000-0000F8020000}"/>
    <cellStyle name="Note 149 6" xfId="762" xr:uid="{00000000-0005-0000-0000-0000F9020000}"/>
    <cellStyle name="Note 15 2" xfId="763" xr:uid="{00000000-0005-0000-0000-0000FA020000}"/>
    <cellStyle name="Note 15 3" xfId="764" xr:uid="{00000000-0005-0000-0000-0000FB020000}"/>
    <cellStyle name="Note 15 4" xfId="765" xr:uid="{00000000-0005-0000-0000-0000FC020000}"/>
    <cellStyle name="Note 15 5" xfId="766" xr:uid="{00000000-0005-0000-0000-0000FD020000}"/>
    <cellStyle name="Note 15 6" xfId="767" xr:uid="{00000000-0005-0000-0000-0000FE020000}"/>
    <cellStyle name="Note 150 2" xfId="768" xr:uid="{00000000-0005-0000-0000-0000FF020000}"/>
    <cellStyle name="Note 150 3" xfId="769" xr:uid="{00000000-0005-0000-0000-000000030000}"/>
    <cellStyle name="Note 150 4" xfId="770" xr:uid="{00000000-0005-0000-0000-000001030000}"/>
    <cellStyle name="Note 150 5" xfId="771" xr:uid="{00000000-0005-0000-0000-000002030000}"/>
    <cellStyle name="Note 150 6" xfId="772" xr:uid="{00000000-0005-0000-0000-000003030000}"/>
    <cellStyle name="Note 151 2" xfId="773" xr:uid="{00000000-0005-0000-0000-000004030000}"/>
    <cellStyle name="Note 151 3" xfId="774" xr:uid="{00000000-0005-0000-0000-000005030000}"/>
    <cellStyle name="Note 151 4" xfId="775" xr:uid="{00000000-0005-0000-0000-000006030000}"/>
    <cellStyle name="Note 151 5" xfId="776" xr:uid="{00000000-0005-0000-0000-000007030000}"/>
    <cellStyle name="Note 151 6" xfId="777" xr:uid="{00000000-0005-0000-0000-000008030000}"/>
    <cellStyle name="Note 152 2" xfId="778" xr:uid="{00000000-0005-0000-0000-000009030000}"/>
    <cellStyle name="Note 152 3" xfId="779" xr:uid="{00000000-0005-0000-0000-00000A030000}"/>
    <cellStyle name="Note 152 4" xfId="780" xr:uid="{00000000-0005-0000-0000-00000B030000}"/>
    <cellStyle name="Note 152 5" xfId="781" xr:uid="{00000000-0005-0000-0000-00000C030000}"/>
    <cellStyle name="Note 152 6" xfId="782" xr:uid="{00000000-0005-0000-0000-00000D030000}"/>
    <cellStyle name="Note 153 2" xfId="783" xr:uid="{00000000-0005-0000-0000-00000E030000}"/>
    <cellStyle name="Note 153 3" xfId="784" xr:uid="{00000000-0005-0000-0000-00000F030000}"/>
    <cellStyle name="Note 153 4" xfId="785" xr:uid="{00000000-0005-0000-0000-000010030000}"/>
    <cellStyle name="Note 153 5" xfId="786" xr:uid="{00000000-0005-0000-0000-000011030000}"/>
    <cellStyle name="Note 153 6" xfId="787" xr:uid="{00000000-0005-0000-0000-000012030000}"/>
    <cellStyle name="Note 154 2" xfId="788" xr:uid="{00000000-0005-0000-0000-000013030000}"/>
    <cellStyle name="Note 154 3" xfId="789" xr:uid="{00000000-0005-0000-0000-000014030000}"/>
    <cellStyle name="Note 154 4" xfId="790" xr:uid="{00000000-0005-0000-0000-000015030000}"/>
    <cellStyle name="Note 154 5" xfId="791" xr:uid="{00000000-0005-0000-0000-000016030000}"/>
    <cellStyle name="Note 154 6" xfId="792" xr:uid="{00000000-0005-0000-0000-000017030000}"/>
    <cellStyle name="Note 155 2" xfId="793" xr:uid="{00000000-0005-0000-0000-000018030000}"/>
    <cellStyle name="Note 155 3" xfId="794" xr:uid="{00000000-0005-0000-0000-000019030000}"/>
    <cellStyle name="Note 155 4" xfId="795" xr:uid="{00000000-0005-0000-0000-00001A030000}"/>
    <cellStyle name="Note 155 5" xfId="796" xr:uid="{00000000-0005-0000-0000-00001B030000}"/>
    <cellStyle name="Note 155 6" xfId="797" xr:uid="{00000000-0005-0000-0000-00001C030000}"/>
    <cellStyle name="Note 156 2" xfId="798" xr:uid="{00000000-0005-0000-0000-00001D030000}"/>
    <cellStyle name="Note 156 3" xfId="799" xr:uid="{00000000-0005-0000-0000-00001E030000}"/>
    <cellStyle name="Note 156 4" xfId="800" xr:uid="{00000000-0005-0000-0000-00001F030000}"/>
    <cellStyle name="Note 156 5" xfId="801" xr:uid="{00000000-0005-0000-0000-000020030000}"/>
    <cellStyle name="Note 156 6" xfId="802" xr:uid="{00000000-0005-0000-0000-000021030000}"/>
    <cellStyle name="Note 157 2" xfId="803" xr:uid="{00000000-0005-0000-0000-000022030000}"/>
    <cellStyle name="Note 157 3" xfId="804" xr:uid="{00000000-0005-0000-0000-000023030000}"/>
    <cellStyle name="Note 157 4" xfId="805" xr:uid="{00000000-0005-0000-0000-000024030000}"/>
    <cellStyle name="Note 157 5" xfId="806" xr:uid="{00000000-0005-0000-0000-000025030000}"/>
    <cellStyle name="Note 157 6" xfId="807" xr:uid="{00000000-0005-0000-0000-000026030000}"/>
    <cellStyle name="Note 158 2" xfId="808" xr:uid="{00000000-0005-0000-0000-000027030000}"/>
    <cellStyle name="Note 158 3" xfId="809" xr:uid="{00000000-0005-0000-0000-000028030000}"/>
    <cellStyle name="Note 158 4" xfId="810" xr:uid="{00000000-0005-0000-0000-000029030000}"/>
    <cellStyle name="Note 158 5" xfId="811" xr:uid="{00000000-0005-0000-0000-00002A030000}"/>
    <cellStyle name="Note 158 6" xfId="812" xr:uid="{00000000-0005-0000-0000-00002B030000}"/>
    <cellStyle name="Note 159 2" xfId="813" xr:uid="{00000000-0005-0000-0000-00002C030000}"/>
    <cellStyle name="Note 159 3" xfId="814" xr:uid="{00000000-0005-0000-0000-00002D030000}"/>
    <cellStyle name="Note 159 4" xfId="815" xr:uid="{00000000-0005-0000-0000-00002E030000}"/>
    <cellStyle name="Note 159 5" xfId="816" xr:uid="{00000000-0005-0000-0000-00002F030000}"/>
    <cellStyle name="Note 159 6" xfId="817" xr:uid="{00000000-0005-0000-0000-000030030000}"/>
    <cellStyle name="Note 16 2" xfId="818" xr:uid="{00000000-0005-0000-0000-000031030000}"/>
    <cellStyle name="Note 16 3" xfId="819" xr:uid="{00000000-0005-0000-0000-000032030000}"/>
    <cellStyle name="Note 16 4" xfId="820" xr:uid="{00000000-0005-0000-0000-000033030000}"/>
    <cellStyle name="Note 16 5" xfId="821" xr:uid="{00000000-0005-0000-0000-000034030000}"/>
    <cellStyle name="Note 16 6" xfId="822" xr:uid="{00000000-0005-0000-0000-000035030000}"/>
    <cellStyle name="Note 160 2" xfId="823" xr:uid="{00000000-0005-0000-0000-000036030000}"/>
    <cellStyle name="Note 160 3" xfId="824" xr:uid="{00000000-0005-0000-0000-000037030000}"/>
    <cellStyle name="Note 160 4" xfId="825" xr:uid="{00000000-0005-0000-0000-000038030000}"/>
    <cellStyle name="Note 160 5" xfId="826" xr:uid="{00000000-0005-0000-0000-000039030000}"/>
    <cellStyle name="Note 160 6" xfId="827" xr:uid="{00000000-0005-0000-0000-00003A030000}"/>
    <cellStyle name="Note 161 2" xfId="828" xr:uid="{00000000-0005-0000-0000-00003B030000}"/>
    <cellStyle name="Note 161 3" xfId="829" xr:uid="{00000000-0005-0000-0000-00003C030000}"/>
    <cellStyle name="Note 161 4" xfId="830" xr:uid="{00000000-0005-0000-0000-00003D030000}"/>
    <cellStyle name="Note 161 5" xfId="831" xr:uid="{00000000-0005-0000-0000-00003E030000}"/>
    <cellStyle name="Note 161 6" xfId="832" xr:uid="{00000000-0005-0000-0000-00003F030000}"/>
    <cellStyle name="Note 162 2" xfId="833" xr:uid="{00000000-0005-0000-0000-000040030000}"/>
    <cellStyle name="Note 162 3" xfId="834" xr:uid="{00000000-0005-0000-0000-000041030000}"/>
    <cellStyle name="Note 162 4" xfId="835" xr:uid="{00000000-0005-0000-0000-000042030000}"/>
    <cellStyle name="Note 162 5" xfId="836" xr:uid="{00000000-0005-0000-0000-000043030000}"/>
    <cellStyle name="Note 162 6" xfId="837" xr:uid="{00000000-0005-0000-0000-000044030000}"/>
    <cellStyle name="Note 163 2" xfId="838" xr:uid="{00000000-0005-0000-0000-000045030000}"/>
    <cellStyle name="Note 163 3" xfId="839" xr:uid="{00000000-0005-0000-0000-000046030000}"/>
    <cellStyle name="Note 163 4" xfId="840" xr:uid="{00000000-0005-0000-0000-000047030000}"/>
    <cellStyle name="Note 163 5" xfId="841" xr:uid="{00000000-0005-0000-0000-000048030000}"/>
    <cellStyle name="Note 163 6" xfId="842" xr:uid="{00000000-0005-0000-0000-000049030000}"/>
    <cellStyle name="Note 164 2" xfId="843" xr:uid="{00000000-0005-0000-0000-00004A030000}"/>
    <cellStyle name="Note 164 3" xfId="844" xr:uid="{00000000-0005-0000-0000-00004B030000}"/>
    <cellStyle name="Note 164 4" xfId="845" xr:uid="{00000000-0005-0000-0000-00004C030000}"/>
    <cellStyle name="Note 164 5" xfId="846" xr:uid="{00000000-0005-0000-0000-00004D030000}"/>
    <cellStyle name="Note 164 6" xfId="847" xr:uid="{00000000-0005-0000-0000-00004E030000}"/>
    <cellStyle name="Note 165 2" xfId="848" xr:uid="{00000000-0005-0000-0000-00004F030000}"/>
    <cellStyle name="Note 165 3" xfId="849" xr:uid="{00000000-0005-0000-0000-000050030000}"/>
    <cellStyle name="Note 165 4" xfId="850" xr:uid="{00000000-0005-0000-0000-000051030000}"/>
    <cellStyle name="Note 165 5" xfId="851" xr:uid="{00000000-0005-0000-0000-000052030000}"/>
    <cellStyle name="Note 165 6" xfId="852" xr:uid="{00000000-0005-0000-0000-000053030000}"/>
    <cellStyle name="Note 166" xfId="853" xr:uid="{00000000-0005-0000-0000-000054030000}"/>
    <cellStyle name="Note 167" xfId="854" xr:uid="{00000000-0005-0000-0000-000055030000}"/>
    <cellStyle name="Note 168" xfId="855" xr:uid="{00000000-0005-0000-0000-000056030000}"/>
    <cellStyle name="Note 168 2" xfId="856" xr:uid="{00000000-0005-0000-0000-000057030000}"/>
    <cellStyle name="Note 169" xfId="857" xr:uid="{00000000-0005-0000-0000-000058030000}"/>
    <cellStyle name="Note 17 2" xfId="858" xr:uid="{00000000-0005-0000-0000-000059030000}"/>
    <cellStyle name="Note 17 3" xfId="859" xr:uid="{00000000-0005-0000-0000-00005A030000}"/>
    <cellStyle name="Note 17 4" xfId="860" xr:uid="{00000000-0005-0000-0000-00005B030000}"/>
    <cellStyle name="Note 17 5" xfId="861" xr:uid="{00000000-0005-0000-0000-00005C030000}"/>
    <cellStyle name="Note 17 6" xfId="862" xr:uid="{00000000-0005-0000-0000-00005D030000}"/>
    <cellStyle name="Note 170" xfId="863" xr:uid="{00000000-0005-0000-0000-00005E030000}"/>
    <cellStyle name="Note 18 2" xfId="864" xr:uid="{00000000-0005-0000-0000-00005F030000}"/>
    <cellStyle name="Note 18 3" xfId="865" xr:uid="{00000000-0005-0000-0000-000060030000}"/>
    <cellStyle name="Note 18 4" xfId="866" xr:uid="{00000000-0005-0000-0000-000061030000}"/>
    <cellStyle name="Note 18 5" xfId="867" xr:uid="{00000000-0005-0000-0000-000062030000}"/>
    <cellStyle name="Note 18 6" xfId="868" xr:uid="{00000000-0005-0000-0000-000063030000}"/>
    <cellStyle name="Note 19 2" xfId="869" xr:uid="{00000000-0005-0000-0000-000064030000}"/>
    <cellStyle name="Note 19 3" xfId="870" xr:uid="{00000000-0005-0000-0000-000065030000}"/>
    <cellStyle name="Note 19 4" xfId="871" xr:uid="{00000000-0005-0000-0000-000066030000}"/>
    <cellStyle name="Note 19 5" xfId="872" xr:uid="{00000000-0005-0000-0000-000067030000}"/>
    <cellStyle name="Note 19 6" xfId="873" xr:uid="{00000000-0005-0000-0000-000068030000}"/>
    <cellStyle name="Note 2" xfId="874" xr:uid="{00000000-0005-0000-0000-000069030000}"/>
    <cellStyle name="Note 2 2" xfId="875" xr:uid="{00000000-0005-0000-0000-00006A030000}"/>
    <cellStyle name="Note 2 3" xfId="876" xr:uid="{00000000-0005-0000-0000-00006B030000}"/>
    <cellStyle name="Note 2 4" xfId="877" xr:uid="{00000000-0005-0000-0000-00006C030000}"/>
    <cellStyle name="Note 2 5" xfId="878" xr:uid="{00000000-0005-0000-0000-00006D030000}"/>
    <cellStyle name="Note 2 6" xfId="879" xr:uid="{00000000-0005-0000-0000-00006E030000}"/>
    <cellStyle name="Note 20 2" xfId="880" xr:uid="{00000000-0005-0000-0000-00006F030000}"/>
    <cellStyle name="Note 20 3" xfId="881" xr:uid="{00000000-0005-0000-0000-000070030000}"/>
    <cellStyle name="Note 20 4" xfId="882" xr:uid="{00000000-0005-0000-0000-000071030000}"/>
    <cellStyle name="Note 20 5" xfId="883" xr:uid="{00000000-0005-0000-0000-000072030000}"/>
    <cellStyle name="Note 20 6" xfId="884" xr:uid="{00000000-0005-0000-0000-000073030000}"/>
    <cellStyle name="Note 21 2" xfId="885" xr:uid="{00000000-0005-0000-0000-000074030000}"/>
    <cellStyle name="Note 21 3" xfId="886" xr:uid="{00000000-0005-0000-0000-000075030000}"/>
    <cellStyle name="Note 21 4" xfId="887" xr:uid="{00000000-0005-0000-0000-000076030000}"/>
    <cellStyle name="Note 21 5" xfId="888" xr:uid="{00000000-0005-0000-0000-000077030000}"/>
    <cellStyle name="Note 21 6" xfId="889" xr:uid="{00000000-0005-0000-0000-000078030000}"/>
    <cellStyle name="Note 22 2" xfId="890" xr:uid="{00000000-0005-0000-0000-000079030000}"/>
    <cellStyle name="Note 22 3" xfId="891" xr:uid="{00000000-0005-0000-0000-00007A030000}"/>
    <cellStyle name="Note 22 4" xfId="892" xr:uid="{00000000-0005-0000-0000-00007B030000}"/>
    <cellStyle name="Note 22 5" xfId="893" xr:uid="{00000000-0005-0000-0000-00007C030000}"/>
    <cellStyle name="Note 22 6" xfId="894" xr:uid="{00000000-0005-0000-0000-00007D030000}"/>
    <cellStyle name="Note 23 2" xfId="895" xr:uid="{00000000-0005-0000-0000-00007E030000}"/>
    <cellStyle name="Note 23 3" xfId="896" xr:uid="{00000000-0005-0000-0000-00007F030000}"/>
    <cellStyle name="Note 23 4" xfId="897" xr:uid="{00000000-0005-0000-0000-000080030000}"/>
    <cellStyle name="Note 23 5" xfId="898" xr:uid="{00000000-0005-0000-0000-000081030000}"/>
    <cellStyle name="Note 23 6" xfId="899" xr:uid="{00000000-0005-0000-0000-000082030000}"/>
    <cellStyle name="Note 24 2" xfId="900" xr:uid="{00000000-0005-0000-0000-000083030000}"/>
    <cellStyle name="Note 24 3" xfId="901" xr:uid="{00000000-0005-0000-0000-000084030000}"/>
    <cellStyle name="Note 24 4" xfId="902" xr:uid="{00000000-0005-0000-0000-000085030000}"/>
    <cellStyle name="Note 24 5" xfId="903" xr:uid="{00000000-0005-0000-0000-000086030000}"/>
    <cellStyle name="Note 24 6" xfId="904" xr:uid="{00000000-0005-0000-0000-000087030000}"/>
    <cellStyle name="Note 25 2" xfId="905" xr:uid="{00000000-0005-0000-0000-000088030000}"/>
    <cellStyle name="Note 25 3" xfId="906" xr:uid="{00000000-0005-0000-0000-000089030000}"/>
    <cellStyle name="Note 25 4" xfId="907" xr:uid="{00000000-0005-0000-0000-00008A030000}"/>
    <cellStyle name="Note 25 5" xfId="908" xr:uid="{00000000-0005-0000-0000-00008B030000}"/>
    <cellStyle name="Note 25 6" xfId="909" xr:uid="{00000000-0005-0000-0000-00008C030000}"/>
    <cellStyle name="Note 26 2" xfId="910" xr:uid="{00000000-0005-0000-0000-00008D030000}"/>
    <cellStyle name="Note 26 3" xfId="911" xr:uid="{00000000-0005-0000-0000-00008E030000}"/>
    <cellStyle name="Note 26 4" xfId="912" xr:uid="{00000000-0005-0000-0000-00008F030000}"/>
    <cellStyle name="Note 26 5" xfId="913" xr:uid="{00000000-0005-0000-0000-000090030000}"/>
    <cellStyle name="Note 26 6" xfId="914" xr:uid="{00000000-0005-0000-0000-000091030000}"/>
    <cellStyle name="Note 27 2" xfId="915" xr:uid="{00000000-0005-0000-0000-000092030000}"/>
    <cellStyle name="Note 27 3" xfId="916" xr:uid="{00000000-0005-0000-0000-000093030000}"/>
    <cellStyle name="Note 27 4" xfId="917" xr:uid="{00000000-0005-0000-0000-000094030000}"/>
    <cellStyle name="Note 27 5" xfId="918" xr:uid="{00000000-0005-0000-0000-000095030000}"/>
    <cellStyle name="Note 27 6" xfId="919" xr:uid="{00000000-0005-0000-0000-000096030000}"/>
    <cellStyle name="Note 28 2" xfId="920" xr:uid="{00000000-0005-0000-0000-000097030000}"/>
    <cellStyle name="Note 28 3" xfId="921" xr:uid="{00000000-0005-0000-0000-000098030000}"/>
    <cellStyle name="Note 28 4" xfId="922" xr:uid="{00000000-0005-0000-0000-000099030000}"/>
    <cellStyle name="Note 28 5" xfId="923" xr:uid="{00000000-0005-0000-0000-00009A030000}"/>
    <cellStyle name="Note 28 6" xfId="924" xr:uid="{00000000-0005-0000-0000-00009B030000}"/>
    <cellStyle name="Note 29 2" xfId="925" xr:uid="{00000000-0005-0000-0000-00009C030000}"/>
    <cellStyle name="Note 29 3" xfId="926" xr:uid="{00000000-0005-0000-0000-00009D030000}"/>
    <cellStyle name="Note 29 4" xfId="927" xr:uid="{00000000-0005-0000-0000-00009E030000}"/>
    <cellStyle name="Note 29 5" xfId="928" xr:uid="{00000000-0005-0000-0000-00009F030000}"/>
    <cellStyle name="Note 29 6" xfId="929" xr:uid="{00000000-0005-0000-0000-0000A0030000}"/>
    <cellStyle name="Note 3" xfId="930" xr:uid="{00000000-0005-0000-0000-0000A1030000}"/>
    <cellStyle name="Note 3 2" xfId="931" xr:uid="{00000000-0005-0000-0000-0000A2030000}"/>
    <cellStyle name="Note 3 3" xfId="932" xr:uid="{00000000-0005-0000-0000-0000A3030000}"/>
    <cellStyle name="Note 3 4" xfId="933" xr:uid="{00000000-0005-0000-0000-0000A4030000}"/>
    <cellStyle name="Note 3 5" xfId="934" xr:uid="{00000000-0005-0000-0000-0000A5030000}"/>
    <cellStyle name="Note 3 6" xfId="935" xr:uid="{00000000-0005-0000-0000-0000A6030000}"/>
    <cellStyle name="Note 30 2" xfId="936" xr:uid="{00000000-0005-0000-0000-0000A7030000}"/>
    <cellStyle name="Note 30 3" xfId="937" xr:uid="{00000000-0005-0000-0000-0000A8030000}"/>
    <cellStyle name="Note 30 4" xfId="938" xr:uid="{00000000-0005-0000-0000-0000A9030000}"/>
    <cellStyle name="Note 30 5" xfId="939" xr:uid="{00000000-0005-0000-0000-0000AA030000}"/>
    <cellStyle name="Note 30 6" xfId="940" xr:uid="{00000000-0005-0000-0000-0000AB030000}"/>
    <cellStyle name="Note 31 2" xfId="941" xr:uid="{00000000-0005-0000-0000-0000AC030000}"/>
    <cellStyle name="Note 31 3" xfId="942" xr:uid="{00000000-0005-0000-0000-0000AD030000}"/>
    <cellStyle name="Note 31 4" xfId="943" xr:uid="{00000000-0005-0000-0000-0000AE030000}"/>
    <cellStyle name="Note 31 5" xfId="944" xr:uid="{00000000-0005-0000-0000-0000AF030000}"/>
    <cellStyle name="Note 31 6" xfId="945" xr:uid="{00000000-0005-0000-0000-0000B0030000}"/>
    <cellStyle name="Note 32 2" xfId="946" xr:uid="{00000000-0005-0000-0000-0000B1030000}"/>
    <cellStyle name="Note 32 3" xfId="947" xr:uid="{00000000-0005-0000-0000-0000B2030000}"/>
    <cellStyle name="Note 32 4" xfId="948" xr:uid="{00000000-0005-0000-0000-0000B3030000}"/>
    <cellStyle name="Note 32 5" xfId="949" xr:uid="{00000000-0005-0000-0000-0000B4030000}"/>
    <cellStyle name="Note 32 6" xfId="950" xr:uid="{00000000-0005-0000-0000-0000B5030000}"/>
    <cellStyle name="Note 33 2" xfId="951" xr:uid="{00000000-0005-0000-0000-0000B6030000}"/>
    <cellStyle name="Note 33 3" xfId="952" xr:uid="{00000000-0005-0000-0000-0000B7030000}"/>
    <cellStyle name="Note 33 4" xfId="953" xr:uid="{00000000-0005-0000-0000-0000B8030000}"/>
    <cellStyle name="Note 33 5" xfId="954" xr:uid="{00000000-0005-0000-0000-0000B9030000}"/>
    <cellStyle name="Note 33 6" xfId="955" xr:uid="{00000000-0005-0000-0000-0000BA030000}"/>
    <cellStyle name="Note 34 2" xfId="956" xr:uid="{00000000-0005-0000-0000-0000BB030000}"/>
    <cellStyle name="Note 34 3" xfId="957" xr:uid="{00000000-0005-0000-0000-0000BC030000}"/>
    <cellStyle name="Note 34 4" xfId="958" xr:uid="{00000000-0005-0000-0000-0000BD030000}"/>
    <cellStyle name="Note 34 5" xfId="959" xr:uid="{00000000-0005-0000-0000-0000BE030000}"/>
    <cellStyle name="Note 34 6" xfId="960" xr:uid="{00000000-0005-0000-0000-0000BF030000}"/>
    <cellStyle name="Note 35 2" xfId="961" xr:uid="{00000000-0005-0000-0000-0000C0030000}"/>
    <cellStyle name="Note 35 3" xfId="962" xr:uid="{00000000-0005-0000-0000-0000C1030000}"/>
    <cellStyle name="Note 35 4" xfId="963" xr:uid="{00000000-0005-0000-0000-0000C2030000}"/>
    <cellStyle name="Note 35 5" xfId="964" xr:uid="{00000000-0005-0000-0000-0000C3030000}"/>
    <cellStyle name="Note 35 6" xfId="965" xr:uid="{00000000-0005-0000-0000-0000C4030000}"/>
    <cellStyle name="Note 35 7" xfId="966" xr:uid="{00000000-0005-0000-0000-0000C5030000}"/>
    <cellStyle name="Note 35 8" xfId="967" xr:uid="{00000000-0005-0000-0000-0000C6030000}"/>
    <cellStyle name="Note 36 2" xfId="968" xr:uid="{00000000-0005-0000-0000-0000C7030000}"/>
    <cellStyle name="Note 36 3" xfId="969" xr:uid="{00000000-0005-0000-0000-0000C8030000}"/>
    <cellStyle name="Note 36 4" xfId="970" xr:uid="{00000000-0005-0000-0000-0000C9030000}"/>
    <cellStyle name="Note 36 5" xfId="971" xr:uid="{00000000-0005-0000-0000-0000CA030000}"/>
    <cellStyle name="Note 36 6" xfId="972" xr:uid="{00000000-0005-0000-0000-0000CB030000}"/>
    <cellStyle name="Note 37 2" xfId="973" xr:uid="{00000000-0005-0000-0000-0000CC030000}"/>
    <cellStyle name="Note 37 3" xfId="974" xr:uid="{00000000-0005-0000-0000-0000CD030000}"/>
    <cellStyle name="Note 37 4" xfId="975" xr:uid="{00000000-0005-0000-0000-0000CE030000}"/>
    <cellStyle name="Note 37 5" xfId="976" xr:uid="{00000000-0005-0000-0000-0000CF030000}"/>
    <cellStyle name="Note 37 6" xfId="977" xr:uid="{00000000-0005-0000-0000-0000D0030000}"/>
    <cellStyle name="Note 38 2" xfId="978" xr:uid="{00000000-0005-0000-0000-0000D1030000}"/>
    <cellStyle name="Note 38 3" xfId="979" xr:uid="{00000000-0005-0000-0000-0000D2030000}"/>
    <cellStyle name="Note 38 4" xfId="980" xr:uid="{00000000-0005-0000-0000-0000D3030000}"/>
    <cellStyle name="Note 38 5" xfId="981" xr:uid="{00000000-0005-0000-0000-0000D4030000}"/>
    <cellStyle name="Note 38 6" xfId="982" xr:uid="{00000000-0005-0000-0000-0000D5030000}"/>
    <cellStyle name="Note 39 2" xfId="983" xr:uid="{00000000-0005-0000-0000-0000D6030000}"/>
    <cellStyle name="Note 39 3" xfId="984" xr:uid="{00000000-0005-0000-0000-0000D7030000}"/>
    <cellStyle name="Note 39 4" xfId="985" xr:uid="{00000000-0005-0000-0000-0000D8030000}"/>
    <cellStyle name="Note 39 5" xfId="986" xr:uid="{00000000-0005-0000-0000-0000D9030000}"/>
    <cellStyle name="Note 39 6" xfId="987" xr:uid="{00000000-0005-0000-0000-0000DA030000}"/>
    <cellStyle name="Note 4 2" xfId="988" xr:uid="{00000000-0005-0000-0000-0000DB030000}"/>
    <cellStyle name="Note 4 3" xfId="989" xr:uid="{00000000-0005-0000-0000-0000DC030000}"/>
    <cellStyle name="Note 4 4" xfId="990" xr:uid="{00000000-0005-0000-0000-0000DD030000}"/>
    <cellStyle name="Note 4 5" xfId="991" xr:uid="{00000000-0005-0000-0000-0000DE030000}"/>
    <cellStyle name="Note 4 6" xfId="992" xr:uid="{00000000-0005-0000-0000-0000DF030000}"/>
    <cellStyle name="Note 40 2" xfId="993" xr:uid="{00000000-0005-0000-0000-0000E0030000}"/>
    <cellStyle name="Note 40 3" xfId="994" xr:uid="{00000000-0005-0000-0000-0000E1030000}"/>
    <cellStyle name="Note 40 4" xfId="995" xr:uid="{00000000-0005-0000-0000-0000E2030000}"/>
    <cellStyle name="Note 40 5" xfId="996" xr:uid="{00000000-0005-0000-0000-0000E3030000}"/>
    <cellStyle name="Note 40 6" xfId="997" xr:uid="{00000000-0005-0000-0000-0000E4030000}"/>
    <cellStyle name="Note 41 2" xfId="998" xr:uid="{00000000-0005-0000-0000-0000E5030000}"/>
    <cellStyle name="Note 41 3" xfId="999" xr:uid="{00000000-0005-0000-0000-0000E6030000}"/>
    <cellStyle name="Note 41 4" xfId="1000" xr:uid="{00000000-0005-0000-0000-0000E7030000}"/>
    <cellStyle name="Note 41 5" xfId="1001" xr:uid="{00000000-0005-0000-0000-0000E8030000}"/>
    <cellStyle name="Note 41 6" xfId="1002" xr:uid="{00000000-0005-0000-0000-0000E9030000}"/>
    <cellStyle name="Note 42 2" xfId="1003" xr:uid="{00000000-0005-0000-0000-0000EA030000}"/>
    <cellStyle name="Note 42 3" xfId="1004" xr:uid="{00000000-0005-0000-0000-0000EB030000}"/>
    <cellStyle name="Note 42 4" xfId="1005" xr:uid="{00000000-0005-0000-0000-0000EC030000}"/>
    <cellStyle name="Note 42 5" xfId="1006" xr:uid="{00000000-0005-0000-0000-0000ED030000}"/>
    <cellStyle name="Note 42 6" xfId="1007" xr:uid="{00000000-0005-0000-0000-0000EE030000}"/>
    <cellStyle name="Note 43 2" xfId="1008" xr:uid="{00000000-0005-0000-0000-0000EF030000}"/>
    <cellStyle name="Note 43 3" xfId="1009" xr:uid="{00000000-0005-0000-0000-0000F0030000}"/>
    <cellStyle name="Note 43 4" xfId="1010" xr:uid="{00000000-0005-0000-0000-0000F1030000}"/>
    <cellStyle name="Note 43 5" xfId="1011" xr:uid="{00000000-0005-0000-0000-0000F2030000}"/>
    <cellStyle name="Note 43 6" xfId="1012" xr:uid="{00000000-0005-0000-0000-0000F3030000}"/>
    <cellStyle name="Note 44 2" xfId="1013" xr:uid="{00000000-0005-0000-0000-0000F4030000}"/>
    <cellStyle name="Note 44 3" xfId="1014" xr:uid="{00000000-0005-0000-0000-0000F5030000}"/>
    <cellStyle name="Note 44 4" xfId="1015" xr:uid="{00000000-0005-0000-0000-0000F6030000}"/>
    <cellStyle name="Note 44 5" xfId="1016" xr:uid="{00000000-0005-0000-0000-0000F7030000}"/>
    <cellStyle name="Note 44 6" xfId="1017" xr:uid="{00000000-0005-0000-0000-0000F8030000}"/>
    <cellStyle name="Note 45 2" xfId="1018" xr:uid="{00000000-0005-0000-0000-0000F9030000}"/>
    <cellStyle name="Note 45 3" xfId="1019" xr:uid="{00000000-0005-0000-0000-0000FA030000}"/>
    <cellStyle name="Note 45 4" xfId="1020" xr:uid="{00000000-0005-0000-0000-0000FB030000}"/>
    <cellStyle name="Note 45 5" xfId="1021" xr:uid="{00000000-0005-0000-0000-0000FC030000}"/>
    <cellStyle name="Note 45 6" xfId="1022" xr:uid="{00000000-0005-0000-0000-0000FD030000}"/>
    <cellStyle name="Note 46 2" xfId="1023" xr:uid="{00000000-0005-0000-0000-0000FE030000}"/>
    <cellStyle name="Note 46 3" xfId="1024" xr:uid="{00000000-0005-0000-0000-0000FF030000}"/>
    <cellStyle name="Note 46 4" xfId="1025" xr:uid="{00000000-0005-0000-0000-000000040000}"/>
    <cellStyle name="Note 46 5" xfId="1026" xr:uid="{00000000-0005-0000-0000-000001040000}"/>
    <cellStyle name="Note 46 6" xfId="1027" xr:uid="{00000000-0005-0000-0000-000002040000}"/>
    <cellStyle name="Note 47 2" xfId="1028" xr:uid="{00000000-0005-0000-0000-000003040000}"/>
    <cellStyle name="Note 47 3" xfId="1029" xr:uid="{00000000-0005-0000-0000-000004040000}"/>
    <cellStyle name="Note 47 4" xfId="1030" xr:uid="{00000000-0005-0000-0000-000005040000}"/>
    <cellStyle name="Note 47 5" xfId="1031" xr:uid="{00000000-0005-0000-0000-000006040000}"/>
    <cellStyle name="Note 47 6" xfId="1032" xr:uid="{00000000-0005-0000-0000-000007040000}"/>
    <cellStyle name="Note 48 2" xfId="1033" xr:uid="{00000000-0005-0000-0000-000008040000}"/>
    <cellStyle name="Note 48 3" xfId="1034" xr:uid="{00000000-0005-0000-0000-000009040000}"/>
    <cellStyle name="Note 48 4" xfId="1035" xr:uid="{00000000-0005-0000-0000-00000A040000}"/>
    <cellStyle name="Note 48 5" xfId="1036" xr:uid="{00000000-0005-0000-0000-00000B040000}"/>
    <cellStyle name="Note 48 6" xfId="1037" xr:uid="{00000000-0005-0000-0000-00000C040000}"/>
    <cellStyle name="Note 49 2" xfId="1038" xr:uid="{00000000-0005-0000-0000-00000D040000}"/>
    <cellStyle name="Note 49 3" xfId="1039" xr:uid="{00000000-0005-0000-0000-00000E040000}"/>
    <cellStyle name="Note 49 4" xfId="1040" xr:uid="{00000000-0005-0000-0000-00000F040000}"/>
    <cellStyle name="Note 49 5" xfId="1041" xr:uid="{00000000-0005-0000-0000-000010040000}"/>
    <cellStyle name="Note 49 6" xfId="1042" xr:uid="{00000000-0005-0000-0000-000011040000}"/>
    <cellStyle name="Note 5 2" xfId="1043" xr:uid="{00000000-0005-0000-0000-000012040000}"/>
    <cellStyle name="Note 5 3" xfId="1044" xr:uid="{00000000-0005-0000-0000-000013040000}"/>
    <cellStyle name="Note 5 4" xfId="1045" xr:uid="{00000000-0005-0000-0000-000014040000}"/>
    <cellStyle name="Note 5 5" xfId="1046" xr:uid="{00000000-0005-0000-0000-000015040000}"/>
    <cellStyle name="Note 5 6" xfId="1047" xr:uid="{00000000-0005-0000-0000-000016040000}"/>
    <cellStyle name="Note 50 2" xfId="1048" xr:uid="{00000000-0005-0000-0000-000017040000}"/>
    <cellStyle name="Note 50 3" xfId="1049" xr:uid="{00000000-0005-0000-0000-000018040000}"/>
    <cellStyle name="Note 50 4" xfId="1050" xr:uid="{00000000-0005-0000-0000-000019040000}"/>
    <cellStyle name="Note 50 5" xfId="1051" xr:uid="{00000000-0005-0000-0000-00001A040000}"/>
    <cellStyle name="Note 50 6" xfId="1052" xr:uid="{00000000-0005-0000-0000-00001B040000}"/>
    <cellStyle name="Note 51 2" xfId="1053" xr:uid="{00000000-0005-0000-0000-00001C040000}"/>
    <cellStyle name="Note 51 3" xfId="1054" xr:uid="{00000000-0005-0000-0000-00001D040000}"/>
    <cellStyle name="Note 51 4" xfId="1055" xr:uid="{00000000-0005-0000-0000-00001E040000}"/>
    <cellStyle name="Note 51 5" xfId="1056" xr:uid="{00000000-0005-0000-0000-00001F040000}"/>
    <cellStyle name="Note 51 6" xfId="1057" xr:uid="{00000000-0005-0000-0000-000020040000}"/>
    <cellStyle name="Note 52 2" xfId="1058" xr:uid="{00000000-0005-0000-0000-000021040000}"/>
    <cellStyle name="Note 52 3" xfId="1059" xr:uid="{00000000-0005-0000-0000-000022040000}"/>
    <cellStyle name="Note 52 4" xfId="1060" xr:uid="{00000000-0005-0000-0000-000023040000}"/>
    <cellStyle name="Note 52 5" xfId="1061" xr:uid="{00000000-0005-0000-0000-000024040000}"/>
    <cellStyle name="Note 52 6" xfId="1062" xr:uid="{00000000-0005-0000-0000-000025040000}"/>
    <cellStyle name="Note 53 2" xfId="1063" xr:uid="{00000000-0005-0000-0000-000026040000}"/>
    <cellStyle name="Note 53 3" xfId="1064" xr:uid="{00000000-0005-0000-0000-000027040000}"/>
    <cellStyle name="Note 53 4" xfId="1065" xr:uid="{00000000-0005-0000-0000-000028040000}"/>
    <cellStyle name="Note 53 5" xfId="1066" xr:uid="{00000000-0005-0000-0000-000029040000}"/>
    <cellStyle name="Note 53 6" xfId="1067" xr:uid="{00000000-0005-0000-0000-00002A040000}"/>
    <cellStyle name="Note 54 2" xfId="1068" xr:uid="{00000000-0005-0000-0000-00002B040000}"/>
    <cellStyle name="Note 54 3" xfId="1069" xr:uid="{00000000-0005-0000-0000-00002C040000}"/>
    <cellStyle name="Note 54 4" xfId="1070" xr:uid="{00000000-0005-0000-0000-00002D040000}"/>
    <cellStyle name="Note 54 5" xfId="1071" xr:uid="{00000000-0005-0000-0000-00002E040000}"/>
    <cellStyle name="Note 54 6" xfId="1072" xr:uid="{00000000-0005-0000-0000-00002F040000}"/>
    <cellStyle name="Note 55 2" xfId="1073" xr:uid="{00000000-0005-0000-0000-000030040000}"/>
    <cellStyle name="Note 55 3" xfId="1074" xr:uid="{00000000-0005-0000-0000-000031040000}"/>
    <cellStyle name="Note 55 4" xfId="1075" xr:uid="{00000000-0005-0000-0000-000032040000}"/>
    <cellStyle name="Note 55 5" xfId="1076" xr:uid="{00000000-0005-0000-0000-000033040000}"/>
    <cellStyle name="Note 55 6" xfId="1077" xr:uid="{00000000-0005-0000-0000-000034040000}"/>
    <cellStyle name="Note 56 2" xfId="1078" xr:uid="{00000000-0005-0000-0000-000035040000}"/>
    <cellStyle name="Note 56 3" xfId="1079" xr:uid="{00000000-0005-0000-0000-000036040000}"/>
    <cellStyle name="Note 56 4" xfId="1080" xr:uid="{00000000-0005-0000-0000-000037040000}"/>
    <cellStyle name="Note 56 5" xfId="1081" xr:uid="{00000000-0005-0000-0000-000038040000}"/>
    <cellStyle name="Note 56 6" xfId="1082" xr:uid="{00000000-0005-0000-0000-000039040000}"/>
    <cellStyle name="Note 57 2" xfId="1083" xr:uid="{00000000-0005-0000-0000-00003A040000}"/>
    <cellStyle name="Note 57 3" xfId="1084" xr:uid="{00000000-0005-0000-0000-00003B040000}"/>
    <cellStyle name="Note 57 4" xfId="1085" xr:uid="{00000000-0005-0000-0000-00003C040000}"/>
    <cellStyle name="Note 57 5" xfId="1086" xr:uid="{00000000-0005-0000-0000-00003D040000}"/>
    <cellStyle name="Note 57 6" xfId="1087" xr:uid="{00000000-0005-0000-0000-00003E040000}"/>
    <cellStyle name="Note 58 2" xfId="1088" xr:uid="{00000000-0005-0000-0000-00003F040000}"/>
    <cellStyle name="Note 58 3" xfId="1089" xr:uid="{00000000-0005-0000-0000-000040040000}"/>
    <cellStyle name="Note 58 4" xfId="1090" xr:uid="{00000000-0005-0000-0000-000041040000}"/>
    <cellStyle name="Note 58 5" xfId="1091" xr:uid="{00000000-0005-0000-0000-000042040000}"/>
    <cellStyle name="Note 58 6" xfId="1092" xr:uid="{00000000-0005-0000-0000-000043040000}"/>
    <cellStyle name="Note 59 2" xfId="1093" xr:uid="{00000000-0005-0000-0000-000044040000}"/>
    <cellStyle name="Note 59 3" xfId="1094" xr:uid="{00000000-0005-0000-0000-000045040000}"/>
    <cellStyle name="Note 59 4" xfId="1095" xr:uid="{00000000-0005-0000-0000-000046040000}"/>
    <cellStyle name="Note 59 5" xfId="1096" xr:uid="{00000000-0005-0000-0000-000047040000}"/>
    <cellStyle name="Note 59 6" xfId="1097" xr:uid="{00000000-0005-0000-0000-000048040000}"/>
    <cellStyle name="Note 6 2" xfId="1098" xr:uid="{00000000-0005-0000-0000-000049040000}"/>
    <cellStyle name="Note 6 3" xfId="1099" xr:uid="{00000000-0005-0000-0000-00004A040000}"/>
    <cellStyle name="Note 6 4" xfId="1100" xr:uid="{00000000-0005-0000-0000-00004B040000}"/>
    <cellStyle name="Note 6 5" xfId="1101" xr:uid="{00000000-0005-0000-0000-00004C040000}"/>
    <cellStyle name="Note 6 6" xfId="1102" xr:uid="{00000000-0005-0000-0000-00004D040000}"/>
    <cellStyle name="Note 60 2" xfId="1103" xr:uid="{00000000-0005-0000-0000-00004E040000}"/>
    <cellStyle name="Note 60 3" xfId="1104" xr:uid="{00000000-0005-0000-0000-00004F040000}"/>
    <cellStyle name="Note 60 4" xfId="1105" xr:uid="{00000000-0005-0000-0000-000050040000}"/>
    <cellStyle name="Note 60 5" xfId="1106" xr:uid="{00000000-0005-0000-0000-000051040000}"/>
    <cellStyle name="Note 60 6" xfId="1107" xr:uid="{00000000-0005-0000-0000-000052040000}"/>
    <cellStyle name="Note 61 2" xfId="1108" xr:uid="{00000000-0005-0000-0000-000053040000}"/>
    <cellStyle name="Note 61 3" xfId="1109" xr:uid="{00000000-0005-0000-0000-000054040000}"/>
    <cellStyle name="Note 61 4" xfId="1110" xr:uid="{00000000-0005-0000-0000-000055040000}"/>
    <cellStyle name="Note 61 5" xfId="1111" xr:uid="{00000000-0005-0000-0000-000056040000}"/>
    <cellStyle name="Note 61 6" xfId="1112" xr:uid="{00000000-0005-0000-0000-000057040000}"/>
    <cellStyle name="Note 62 2" xfId="1113" xr:uid="{00000000-0005-0000-0000-000058040000}"/>
    <cellStyle name="Note 62 3" xfId="1114" xr:uid="{00000000-0005-0000-0000-000059040000}"/>
    <cellStyle name="Note 62 4" xfId="1115" xr:uid="{00000000-0005-0000-0000-00005A040000}"/>
    <cellStyle name="Note 62 5" xfId="1116" xr:uid="{00000000-0005-0000-0000-00005B040000}"/>
    <cellStyle name="Note 62 6" xfId="1117" xr:uid="{00000000-0005-0000-0000-00005C040000}"/>
    <cellStyle name="Note 63 2" xfId="1118" xr:uid="{00000000-0005-0000-0000-00005D040000}"/>
    <cellStyle name="Note 63 3" xfId="1119" xr:uid="{00000000-0005-0000-0000-00005E040000}"/>
    <cellStyle name="Note 63 4" xfId="1120" xr:uid="{00000000-0005-0000-0000-00005F040000}"/>
    <cellStyle name="Note 63 5" xfId="1121" xr:uid="{00000000-0005-0000-0000-000060040000}"/>
    <cellStyle name="Note 63 6" xfId="1122" xr:uid="{00000000-0005-0000-0000-000061040000}"/>
    <cellStyle name="Note 64 2" xfId="1123" xr:uid="{00000000-0005-0000-0000-000062040000}"/>
    <cellStyle name="Note 64 3" xfId="1124" xr:uid="{00000000-0005-0000-0000-000063040000}"/>
    <cellStyle name="Note 64 4" xfId="1125" xr:uid="{00000000-0005-0000-0000-000064040000}"/>
    <cellStyle name="Note 64 5" xfId="1126" xr:uid="{00000000-0005-0000-0000-000065040000}"/>
    <cellStyle name="Note 64 6" xfId="1127" xr:uid="{00000000-0005-0000-0000-000066040000}"/>
    <cellStyle name="Note 65 2" xfId="1128" xr:uid="{00000000-0005-0000-0000-000067040000}"/>
    <cellStyle name="Note 65 3" xfId="1129" xr:uid="{00000000-0005-0000-0000-000068040000}"/>
    <cellStyle name="Note 65 4" xfId="1130" xr:uid="{00000000-0005-0000-0000-000069040000}"/>
    <cellStyle name="Note 65 5" xfId="1131" xr:uid="{00000000-0005-0000-0000-00006A040000}"/>
    <cellStyle name="Note 65 6" xfId="1132" xr:uid="{00000000-0005-0000-0000-00006B040000}"/>
    <cellStyle name="Note 66 2" xfId="1133" xr:uid="{00000000-0005-0000-0000-00006C040000}"/>
    <cellStyle name="Note 66 3" xfId="1134" xr:uid="{00000000-0005-0000-0000-00006D040000}"/>
    <cellStyle name="Note 66 4" xfId="1135" xr:uid="{00000000-0005-0000-0000-00006E040000}"/>
    <cellStyle name="Note 66 5" xfId="1136" xr:uid="{00000000-0005-0000-0000-00006F040000}"/>
    <cellStyle name="Note 66 6" xfId="1137" xr:uid="{00000000-0005-0000-0000-000070040000}"/>
    <cellStyle name="Note 67 2" xfId="1138" xr:uid="{00000000-0005-0000-0000-000071040000}"/>
    <cellStyle name="Note 67 3" xfId="1139" xr:uid="{00000000-0005-0000-0000-000072040000}"/>
    <cellStyle name="Note 67 4" xfId="1140" xr:uid="{00000000-0005-0000-0000-000073040000}"/>
    <cellStyle name="Note 67 5" xfId="1141" xr:uid="{00000000-0005-0000-0000-000074040000}"/>
    <cellStyle name="Note 67 6" xfId="1142" xr:uid="{00000000-0005-0000-0000-000075040000}"/>
    <cellStyle name="Note 68 2" xfId="1143" xr:uid="{00000000-0005-0000-0000-000076040000}"/>
    <cellStyle name="Note 68 3" xfId="1144" xr:uid="{00000000-0005-0000-0000-000077040000}"/>
    <cellStyle name="Note 68 4" xfId="1145" xr:uid="{00000000-0005-0000-0000-000078040000}"/>
    <cellStyle name="Note 68 5" xfId="1146" xr:uid="{00000000-0005-0000-0000-000079040000}"/>
    <cellStyle name="Note 68 6" xfId="1147" xr:uid="{00000000-0005-0000-0000-00007A040000}"/>
    <cellStyle name="Note 69 2" xfId="1148" xr:uid="{00000000-0005-0000-0000-00007B040000}"/>
    <cellStyle name="Note 69 3" xfId="1149" xr:uid="{00000000-0005-0000-0000-00007C040000}"/>
    <cellStyle name="Note 69 4" xfId="1150" xr:uid="{00000000-0005-0000-0000-00007D040000}"/>
    <cellStyle name="Note 69 5" xfId="1151" xr:uid="{00000000-0005-0000-0000-00007E040000}"/>
    <cellStyle name="Note 69 6" xfId="1152" xr:uid="{00000000-0005-0000-0000-00007F040000}"/>
    <cellStyle name="Note 7 2" xfId="1153" xr:uid="{00000000-0005-0000-0000-000080040000}"/>
    <cellStyle name="Note 7 3" xfId="1154" xr:uid="{00000000-0005-0000-0000-000081040000}"/>
    <cellStyle name="Note 7 4" xfId="1155" xr:uid="{00000000-0005-0000-0000-000082040000}"/>
    <cellStyle name="Note 7 5" xfId="1156" xr:uid="{00000000-0005-0000-0000-000083040000}"/>
    <cellStyle name="Note 7 6" xfId="1157" xr:uid="{00000000-0005-0000-0000-000084040000}"/>
    <cellStyle name="Note 70 2" xfId="1158" xr:uid="{00000000-0005-0000-0000-000085040000}"/>
    <cellStyle name="Note 70 3" xfId="1159" xr:uid="{00000000-0005-0000-0000-000086040000}"/>
    <cellStyle name="Note 70 4" xfId="1160" xr:uid="{00000000-0005-0000-0000-000087040000}"/>
    <cellStyle name="Note 70 5" xfId="1161" xr:uid="{00000000-0005-0000-0000-000088040000}"/>
    <cellStyle name="Note 70 6" xfId="1162" xr:uid="{00000000-0005-0000-0000-000089040000}"/>
    <cellStyle name="Note 71 2" xfId="1163" xr:uid="{00000000-0005-0000-0000-00008A040000}"/>
    <cellStyle name="Note 71 3" xfId="1164" xr:uid="{00000000-0005-0000-0000-00008B040000}"/>
    <cellStyle name="Note 71 4" xfId="1165" xr:uid="{00000000-0005-0000-0000-00008C040000}"/>
    <cellStyle name="Note 71 5" xfId="1166" xr:uid="{00000000-0005-0000-0000-00008D040000}"/>
    <cellStyle name="Note 71 6" xfId="1167" xr:uid="{00000000-0005-0000-0000-00008E040000}"/>
    <cellStyle name="Note 72 2" xfId="1168" xr:uid="{00000000-0005-0000-0000-00008F040000}"/>
    <cellStyle name="Note 72 3" xfId="1169" xr:uid="{00000000-0005-0000-0000-000090040000}"/>
    <cellStyle name="Note 72 4" xfId="1170" xr:uid="{00000000-0005-0000-0000-000091040000}"/>
    <cellStyle name="Note 72 5" xfId="1171" xr:uid="{00000000-0005-0000-0000-000092040000}"/>
    <cellStyle name="Note 72 6" xfId="1172" xr:uid="{00000000-0005-0000-0000-000093040000}"/>
    <cellStyle name="Note 73 2" xfId="1173" xr:uid="{00000000-0005-0000-0000-000094040000}"/>
    <cellStyle name="Note 73 3" xfId="1174" xr:uid="{00000000-0005-0000-0000-000095040000}"/>
    <cellStyle name="Note 73 4" xfId="1175" xr:uid="{00000000-0005-0000-0000-000096040000}"/>
    <cellStyle name="Note 73 5" xfId="1176" xr:uid="{00000000-0005-0000-0000-000097040000}"/>
    <cellStyle name="Note 73 6" xfId="1177" xr:uid="{00000000-0005-0000-0000-000098040000}"/>
    <cellStyle name="Note 74 2" xfId="1178" xr:uid="{00000000-0005-0000-0000-000099040000}"/>
    <cellStyle name="Note 74 3" xfId="1179" xr:uid="{00000000-0005-0000-0000-00009A040000}"/>
    <cellStyle name="Note 74 4" xfId="1180" xr:uid="{00000000-0005-0000-0000-00009B040000}"/>
    <cellStyle name="Note 74 5" xfId="1181" xr:uid="{00000000-0005-0000-0000-00009C040000}"/>
    <cellStyle name="Note 74 6" xfId="1182" xr:uid="{00000000-0005-0000-0000-00009D040000}"/>
    <cellStyle name="Note 75 2" xfId="1183" xr:uid="{00000000-0005-0000-0000-00009E040000}"/>
    <cellStyle name="Note 75 3" xfId="1184" xr:uid="{00000000-0005-0000-0000-00009F040000}"/>
    <cellStyle name="Note 75 4" xfId="1185" xr:uid="{00000000-0005-0000-0000-0000A0040000}"/>
    <cellStyle name="Note 75 5" xfId="1186" xr:uid="{00000000-0005-0000-0000-0000A1040000}"/>
    <cellStyle name="Note 75 6" xfId="1187" xr:uid="{00000000-0005-0000-0000-0000A2040000}"/>
    <cellStyle name="Note 76 2" xfId="1188" xr:uid="{00000000-0005-0000-0000-0000A3040000}"/>
    <cellStyle name="Note 76 3" xfId="1189" xr:uid="{00000000-0005-0000-0000-0000A4040000}"/>
    <cellStyle name="Note 76 4" xfId="1190" xr:uid="{00000000-0005-0000-0000-0000A5040000}"/>
    <cellStyle name="Note 76 5" xfId="1191" xr:uid="{00000000-0005-0000-0000-0000A6040000}"/>
    <cellStyle name="Note 76 6" xfId="1192" xr:uid="{00000000-0005-0000-0000-0000A7040000}"/>
    <cellStyle name="Note 77 2" xfId="1193" xr:uid="{00000000-0005-0000-0000-0000A8040000}"/>
    <cellStyle name="Note 77 3" xfId="1194" xr:uid="{00000000-0005-0000-0000-0000A9040000}"/>
    <cellStyle name="Note 77 4" xfId="1195" xr:uid="{00000000-0005-0000-0000-0000AA040000}"/>
    <cellStyle name="Note 77 5" xfId="1196" xr:uid="{00000000-0005-0000-0000-0000AB040000}"/>
    <cellStyle name="Note 77 6" xfId="1197" xr:uid="{00000000-0005-0000-0000-0000AC040000}"/>
    <cellStyle name="Note 78 2" xfId="1198" xr:uid="{00000000-0005-0000-0000-0000AD040000}"/>
    <cellStyle name="Note 78 3" xfId="1199" xr:uid="{00000000-0005-0000-0000-0000AE040000}"/>
    <cellStyle name="Note 78 4" xfId="1200" xr:uid="{00000000-0005-0000-0000-0000AF040000}"/>
    <cellStyle name="Note 78 5" xfId="1201" xr:uid="{00000000-0005-0000-0000-0000B0040000}"/>
    <cellStyle name="Note 78 6" xfId="1202" xr:uid="{00000000-0005-0000-0000-0000B1040000}"/>
    <cellStyle name="Note 79 2" xfId="1203" xr:uid="{00000000-0005-0000-0000-0000B2040000}"/>
    <cellStyle name="Note 79 3" xfId="1204" xr:uid="{00000000-0005-0000-0000-0000B3040000}"/>
    <cellStyle name="Note 79 4" xfId="1205" xr:uid="{00000000-0005-0000-0000-0000B4040000}"/>
    <cellStyle name="Note 79 5" xfId="1206" xr:uid="{00000000-0005-0000-0000-0000B5040000}"/>
    <cellStyle name="Note 79 6" xfId="1207" xr:uid="{00000000-0005-0000-0000-0000B6040000}"/>
    <cellStyle name="Note 8 2" xfId="1208" xr:uid="{00000000-0005-0000-0000-0000B7040000}"/>
    <cellStyle name="Note 8 3" xfId="1209" xr:uid="{00000000-0005-0000-0000-0000B8040000}"/>
    <cellStyle name="Note 8 4" xfId="1210" xr:uid="{00000000-0005-0000-0000-0000B9040000}"/>
    <cellStyle name="Note 8 5" xfId="1211" xr:uid="{00000000-0005-0000-0000-0000BA040000}"/>
    <cellStyle name="Note 8 6" xfId="1212" xr:uid="{00000000-0005-0000-0000-0000BB040000}"/>
    <cellStyle name="Note 80 2" xfId="1213" xr:uid="{00000000-0005-0000-0000-0000BC040000}"/>
    <cellStyle name="Note 80 3" xfId="1214" xr:uid="{00000000-0005-0000-0000-0000BD040000}"/>
    <cellStyle name="Note 80 4" xfId="1215" xr:uid="{00000000-0005-0000-0000-0000BE040000}"/>
    <cellStyle name="Note 80 5" xfId="1216" xr:uid="{00000000-0005-0000-0000-0000BF040000}"/>
    <cellStyle name="Note 80 6" xfId="1217" xr:uid="{00000000-0005-0000-0000-0000C0040000}"/>
    <cellStyle name="Note 81 2" xfId="1218" xr:uid="{00000000-0005-0000-0000-0000C1040000}"/>
    <cellStyle name="Note 81 3" xfId="1219" xr:uid="{00000000-0005-0000-0000-0000C2040000}"/>
    <cellStyle name="Note 81 4" xfId="1220" xr:uid="{00000000-0005-0000-0000-0000C3040000}"/>
    <cellStyle name="Note 81 5" xfId="1221" xr:uid="{00000000-0005-0000-0000-0000C4040000}"/>
    <cellStyle name="Note 81 6" xfId="1222" xr:uid="{00000000-0005-0000-0000-0000C5040000}"/>
    <cellStyle name="Note 82 2" xfId="1223" xr:uid="{00000000-0005-0000-0000-0000C6040000}"/>
    <cellStyle name="Note 82 3" xfId="1224" xr:uid="{00000000-0005-0000-0000-0000C7040000}"/>
    <cellStyle name="Note 82 4" xfId="1225" xr:uid="{00000000-0005-0000-0000-0000C8040000}"/>
    <cellStyle name="Note 82 5" xfId="1226" xr:uid="{00000000-0005-0000-0000-0000C9040000}"/>
    <cellStyle name="Note 82 6" xfId="1227" xr:uid="{00000000-0005-0000-0000-0000CA040000}"/>
    <cellStyle name="Note 83 2" xfId="1228" xr:uid="{00000000-0005-0000-0000-0000CB040000}"/>
    <cellStyle name="Note 83 3" xfId="1229" xr:uid="{00000000-0005-0000-0000-0000CC040000}"/>
    <cellStyle name="Note 83 4" xfId="1230" xr:uid="{00000000-0005-0000-0000-0000CD040000}"/>
    <cellStyle name="Note 83 5" xfId="1231" xr:uid="{00000000-0005-0000-0000-0000CE040000}"/>
    <cellStyle name="Note 83 6" xfId="1232" xr:uid="{00000000-0005-0000-0000-0000CF040000}"/>
    <cellStyle name="Note 84 2" xfId="1233" xr:uid="{00000000-0005-0000-0000-0000D0040000}"/>
    <cellStyle name="Note 84 3" xfId="1234" xr:uid="{00000000-0005-0000-0000-0000D1040000}"/>
    <cellStyle name="Note 84 4" xfId="1235" xr:uid="{00000000-0005-0000-0000-0000D2040000}"/>
    <cellStyle name="Note 84 5" xfId="1236" xr:uid="{00000000-0005-0000-0000-0000D3040000}"/>
    <cellStyle name="Note 84 6" xfId="1237" xr:uid="{00000000-0005-0000-0000-0000D4040000}"/>
    <cellStyle name="Note 85 2" xfId="1238" xr:uid="{00000000-0005-0000-0000-0000D5040000}"/>
    <cellStyle name="Note 85 3" xfId="1239" xr:uid="{00000000-0005-0000-0000-0000D6040000}"/>
    <cellStyle name="Note 85 4" xfId="1240" xr:uid="{00000000-0005-0000-0000-0000D7040000}"/>
    <cellStyle name="Note 85 5" xfId="1241" xr:uid="{00000000-0005-0000-0000-0000D8040000}"/>
    <cellStyle name="Note 85 6" xfId="1242" xr:uid="{00000000-0005-0000-0000-0000D9040000}"/>
    <cellStyle name="Note 86 2" xfId="1243" xr:uid="{00000000-0005-0000-0000-0000DA040000}"/>
    <cellStyle name="Note 86 3" xfId="1244" xr:uid="{00000000-0005-0000-0000-0000DB040000}"/>
    <cellStyle name="Note 86 4" xfId="1245" xr:uid="{00000000-0005-0000-0000-0000DC040000}"/>
    <cellStyle name="Note 86 5" xfId="1246" xr:uid="{00000000-0005-0000-0000-0000DD040000}"/>
    <cellStyle name="Note 86 6" xfId="1247" xr:uid="{00000000-0005-0000-0000-0000DE040000}"/>
    <cellStyle name="Note 87 2" xfId="1248" xr:uid="{00000000-0005-0000-0000-0000DF040000}"/>
    <cellStyle name="Note 87 3" xfId="1249" xr:uid="{00000000-0005-0000-0000-0000E0040000}"/>
    <cellStyle name="Note 87 4" xfId="1250" xr:uid="{00000000-0005-0000-0000-0000E1040000}"/>
    <cellStyle name="Note 87 5" xfId="1251" xr:uid="{00000000-0005-0000-0000-0000E2040000}"/>
    <cellStyle name="Note 87 6" xfId="1252" xr:uid="{00000000-0005-0000-0000-0000E3040000}"/>
    <cellStyle name="Note 88 2" xfId="1253" xr:uid="{00000000-0005-0000-0000-0000E4040000}"/>
    <cellStyle name="Note 88 3" xfId="1254" xr:uid="{00000000-0005-0000-0000-0000E5040000}"/>
    <cellStyle name="Note 88 4" xfId="1255" xr:uid="{00000000-0005-0000-0000-0000E6040000}"/>
    <cellStyle name="Note 88 5" xfId="1256" xr:uid="{00000000-0005-0000-0000-0000E7040000}"/>
    <cellStyle name="Note 88 6" xfId="1257" xr:uid="{00000000-0005-0000-0000-0000E8040000}"/>
    <cellStyle name="Note 89 2" xfId="1258" xr:uid="{00000000-0005-0000-0000-0000E9040000}"/>
    <cellStyle name="Note 89 3" xfId="1259" xr:uid="{00000000-0005-0000-0000-0000EA040000}"/>
    <cellStyle name="Note 89 4" xfId="1260" xr:uid="{00000000-0005-0000-0000-0000EB040000}"/>
    <cellStyle name="Note 89 5" xfId="1261" xr:uid="{00000000-0005-0000-0000-0000EC040000}"/>
    <cellStyle name="Note 89 6" xfId="1262" xr:uid="{00000000-0005-0000-0000-0000ED040000}"/>
    <cellStyle name="Note 9 2" xfId="1263" xr:uid="{00000000-0005-0000-0000-0000EE040000}"/>
    <cellStyle name="Note 9 3" xfId="1264" xr:uid="{00000000-0005-0000-0000-0000EF040000}"/>
    <cellStyle name="Note 9 4" xfId="1265" xr:uid="{00000000-0005-0000-0000-0000F0040000}"/>
    <cellStyle name="Note 9 5" xfId="1266" xr:uid="{00000000-0005-0000-0000-0000F1040000}"/>
    <cellStyle name="Note 9 6" xfId="1267" xr:uid="{00000000-0005-0000-0000-0000F2040000}"/>
    <cellStyle name="Note 90 2" xfId="1268" xr:uid="{00000000-0005-0000-0000-0000F3040000}"/>
    <cellStyle name="Note 90 3" xfId="1269" xr:uid="{00000000-0005-0000-0000-0000F4040000}"/>
    <cellStyle name="Note 90 4" xfId="1270" xr:uid="{00000000-0005-0000-0000-0000F5040000}"/>
    <cellStyle name="Note 90 5" xfId="1271" xr:uid="{00000000-0005-0000-0000-0000F6040000}"/>
    <cellStyle name="Note 90 6" xfId="1272" xr:uid="{00000000-0005-0000-0000-0000F7040000}"/>
    <cellStyle name="Note 91 2" xfId="1273" xr:uid="{00000000-0005-0000-0000-0000F8040000}"/>
    <cellStyle name="Note 91 3" xfId="1274" xr:uid="{00000000-0005-0000-0000-0000F9040000}"/>
    <cellStyle name="Note 91 4" xfId="1275" xr:uid="{00000000-0005-0000-0000-0000FA040000}"/>
    <cellStyle name="Note 91 5" xfId="1276" xr:uid="{00000000-0005-0000-0000-0000FB040000}"/>
    <cellStyle name="Note 91 6" xfId="1277" xr:uid="{00000000-0005-0000-0000-0000FC040000}"/>
    <cellStyle name="Note 92 2" xfId="1278" xr:uid="{00000000-0005-0000-0000-0000FD040000}"/>
    <cellStyle name="Note 92 3" xfId="1279" xr:uid="{00000000-0005-0000-0000-0000FE040000}"/>
    <cellStyle name="Note 92 4" xfId="1280" xr:uid="{00000000-0005-0000-0000-0000FF040000}"/>
    <cellStyle name="Note 92 5" xfId="1281" xr:uid="{00000000-0005-0000-0000-000000050000}"/>
    <cellStyle name="Note 92 6" xfId="1282" xr:uid="{00000000-0005-0000-0000-000001050000}"/>
    <cellStyle name="Note 93 2" xfId="1283" xr:uid="{00000000-0005-0000-0000-000002050000}"/>
    <cellStyle name="Note 93 3" xfId="1284" xr:uid="{00000000-0005-0000-0000-000003050000}"/>
    <cellStyle name="Note 93 4" xfId="1285" xr:uid="{00000000-0005-0000-0000-000004050000}"/>
    <cellStyle name="Note 93 5" xfId="1286" xr:uid="{00000000-0005-0000-0000-000005050000}"/>
    <cellStyle name="Note 93 6" xfId="1287" xr:uid="{00000000-0005-0000-0000-000006050000}"/>
    <cellStyle name="Note 94 2" xfId="1288" xr:uid="{00000000-0005-0000-0000-000007050000}"/>
    <cellStyle name="Note 94 3" xfId="1289" xr:uid="{00000000-0005-0000-0000-000008050000}"/>
    <cellStyle name="Note 94 4" xfId="1290" xr:uid="{00000000-0005-0000-0000-000009050000}"/>
    <cellStyle name="Note 94 5" xfId="1291" xr:uid="{00000000-0005-0000-0000-00000A050000}"/>
    <cellStyle name="Note 94 6" xfId="1292" xr:uid="{00000000-0005-0000-0000-00000B050000}"/>
    <cellStyle name="Note 95 2" xfId="1293" xr:uid="{00000000-0005-0000-0000-00000C050000}"/>
    <cellStyle name="Note 95 3" xfId="1294" xr:uid="{00000000-0005-0000-0000-00000D050000}"/>
    <cellStyle name="Note 95 4" xfId="1295" xr:uid="{00000000-0005-0000-0000-00000E050000}"/>
    <cellStyle name="Note 95 5" xfId="1296" xr:uid="{00000000-0005-0000-0000-00000F050000}"/>
    <cellStyle name="Note 95 6" xfId="1297" xr:uid="{00000000-0005-0000-0000-000010050000}"/>
    <cellStyle name="Note 96 2" xfId="1298" xr:uid="{00000000-0005-0000-0000-000011050000}"/>
    <cellStyle name="Note 96 3" xfId="1299" xr:uid="{00000000-0005-0000-0000-000012050000}"/>
    <cellStyle name="Note 96 4" xfId="1300" xr:uid="{00000000-0005-0000-0000-000013050000}"/>
    <cellStyle name="Note 96 5" xfId="1301" xr:uid="{00000000-0005-0000-0000-000014050000}"/>
    <cellStyle name="Note 96 6" xfId="1302" xr:uid="{00000000-0005-0000-0000-000015050000}"/>
    <cellStyle name="Note 97 2" xfId="1303" xr:uid="{00000000-0005-0000-0000-000016050000}"/>
    <cellStyle name="Note 97 3" xfId="1304" xr:uid="{00000000-0005-0000-0000-000017050000}"/>
    <cellStyle name="Note 97 4" xfId="1305" xr:uid="{00000000-0005-0000-0000-000018050000}"/>
    <cellStyle name="Note 97 5" xfId="1306" xr:uid="{00000000-0005-0000-0000-000019050000}"/>
    <cellStyle name="Note 97 6" xfId="1307" xr:uid="{00000000-0005-0000-0000-00001A050000}"/>
    <cellStyle name="Note 98 2" xfId="1308" xr:uid="{00000000-0005-0000-0000-00001B050000}"/>
    <cellStyle name="Note 98 3" xfId="1309" xr:uid="{00000000-0005-0000-0000-00001C050000}"/>
    <cellStyle name="Note 98 4" xfId="1310" xr:uid="{00000000-0005-0000-0000-00001D050000}"/>
    <cellStyle name="Note 98 5" xfId="1311" xr:uid="{00000000-0005-0000-0000-00001E050000}"/>
    <cellStyle name="Note 98 6" xfId="1312" xr:uid="{00000000-0005-0000-0000-00001F050000}"/>
    <cellStyle name="Note 99 2" xfId="1313" xr:uid="{00000000-0005-0000-0000-000020050000}"/>
    <cellStyle name="Note 99 3" xfId="1314" xr:uid="{00000000-0005-0000-0000-000021050000}"/>
    <cellStyle name="Note 99 4" xfId="1315" xr:uid="{00000000-0005-0000-0000-000022050000}"/>
    <cellStyle name="Note 99 5" xfId="1316" xr:uid="{00000000-0005-0000-0000-000023050000}"/>
    <cellStyle name="Note 99 6" xfId="1317" xr:uid="{00000000-0005-0000-0000-000024050000}"/>
    <cellStyle name="Output 2" xfId="1318" xr:uid="{00000000-0005-0000-0000-000025050000}"/>
    <cellStyle name="Output 3" xfId="1319" xr:uid="{00000000-0005-0000-0000-000026050000}"/>
    <cellStyle name="Percent" xfId="1339" builtinId="5"/>
    <cellStyle name="Percent 2" xfId="4" xr:uid="{00000000-0005-0000-0000-000028050000}"/>
    <cellStyle name="Percent 2 2" xfId="1320" xr:uid="{00000000-0005-0000-0000-000029050000}"/>
    <cellStyle name="Percent 3" xfId="1321" xr:uid="{00000000-0005-0000-0000-00002A050000}"/>
    <cellStyle name="Percent 3 2" xfId="1322" xr:uid="{00000000-0005-0000-0000-00002B050000}"/>
    <cellStyle name="Percent 3 2 2" xfId="1323" xr:uid="{00000000-0005-0000-0000-00002C050000}"/>
    <cellStyle name="Percent 4" xfId="1324" xr:uid="{00000000-0005-0000-0000-00002D050000}"/>
    <cellStyle name="Percent 4 2" xfId="1325" xr:uid="{00000000-0005-0000-0000-00002E050000}"/>
    <cellStyle name="Percent 4 2 2" xfId="1326" xr:uid="{00000000-0005-0000-0000-00002F050000}"/>
    <cellStyle name="Percent 4 2 2 2" xfId="1327" xr:uid="{00000000-0005-0000-0000-000030050000}"/>
    <cellStyle name="Percent 4 2 3" xfId="1328" xr:uid="{00000000-0005-0000-0000-000031050000}"/>
    <cellStyle name="Percent 4 3" xfId="1329" xr:uid="{00000000-0005-0000-0000-000032050000}"/>
    <cellStyle name="Percent 4 3 2" xfId="1330" xr:uid="{00000000-0005-0000-0000-000033050000}"/>
    <cellStyle name="Percent 4 4" xfId="1331" xr:uid="{00000000-0005-0000-0000-000034050000}"/>
    <cellStyle name="Style 1" xfId="1332" xr:uid="{00000000-0005-0000-0000-000035050000}"/>
    <cellStyle name="Style 1 2" xfId="1333" xr:uid="{00000000-0005-0000-0000-000036050000}"/>
    <cellStyle name="Style 1 2 2" xfId="1334" xr:uid="{00000000-0005-0000-0000-000037050000}"/>
    <cellStyle name="Style 1 2_Style&amp;Co#  53706   PULL ON  PANT ( LENNY )" xfId="1335" xr:uid="{00000000-0005-0000-0000-000038050000}"/>
    <cellStyle name="Title 2" xfId="1336" xr:uid="{00000000-0005-0000-0000-000039050000}"/>
    <cellStyle name="Total 2" xfId="1337" xr:uid="{00000000-0005-0000-0000-00003A050000}"/>
    <cellStyle name="Total 3" xfId="1338" xr:uid="{00000000-0005-0000-0000-00003B050000}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theme="1"/>
      </font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theme="1"/>
      </font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theme="1"/>
      </font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theme="1"/>
      </font>
      <fill>
        <gradientFill degree="90">
          <stop position="0">
            <color theme="0"/>
          </stop>
          <stop position="1">
            <color rgb="FFFFFF0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2"/>
  <sheetViews>
    <sheetView tabSelected="1" view="pageBreakPreview" topLeftCell="A4" zoomScale="61" zoomScaleNormal="61" zoomScaleSheetLayoutView="61" workbookViewId="0">
      <selection activeCell="D8" sqref="D8"/>
    </sheetView>
  </sheetViews>
  <sheetFormatPr defaultColWidth="9.109375" defaultRowHeight="18.75" customHeight="1" x14ac:dyDescent="0.3"/>
  <cols>
    <col min="1" max="1" width="9.33203125" style="1" bestFit="1" customWidth="1"/>
    <col min="2" max="2" width="56.88671875" style="1" bestFit="1" customWidth="1"/>
    <col min="3" max="3" width="13.6640625" style="2" customWidth="1"/>
    <col min="4" max="4" width="14.6640625" style="2" customWidth="1"/>
    <col min="5" max="5" width="14.44140625" style="2" customWidth="1"/>
    <col min="6" max="6" width="16.88671875" style="2" bestFit="1" customWidth="1"/>
    <col min="7" max="7" width="14.6640625" style="2" customWidth="1"/>
    <col min="8" max="8" width="18.88671875" style="2" customWidth="1"/>
    <col min="9" max="9" width="17.109375" style="2" bestFit="1" customWidth="1"/>
    <col min="10" max="10" width="19" style="2" bestFit="1" customWidth="1"/>
    <col min="11" max="11" width="14.6640625" style="2" customWidth="1"/>
    <col min="12" max="12" width="18.6640625" style="3" bestFit="1" customWidth="1"/>
    <col min="13" max="13" width="19.109375" style="1" customWidth="1"/>
    <col min="14" max="14" width="9.33203125" style="1" bestFit="1" customWidth="1"/>
    <col min="15" max="16384" width="9.109375" style="1"/>
  </cols>
  <sheetData>
    <row r="1" spans="1:13" ht="18.75" customHeight="1" thickBot="1" x14ac:dyDescent="0.35"/>
    <row r="2" spans="1:13" ht="18.75" customHeight="1" thickBot="1" x14ac:dyDescent="0.35">
      <c r="A2" s="4"/>
      <c r="B2" s="5" t="s">
        <v>0</v>
      </c>
      <c r="C2" s="117" t="s">
        <v>196</v>
      </c>
      <c r="D2" s="118"/>
      <c r="E2" s="119" t="s">
        <v>197</v>
      </c>
      <c r="F2" s="118"/>
      <c r="G2" s="6"/>
      <c r="H2" s="7" t="s">
        <v>1</v>
      </c>
      <c r="I2" s="8">
        <v>600</v>
      </c>
      <c r="J2" s="7" t="s">
        <v>1</v>
      </c>
      <c r="K2" s="8">
        <v>600</v>
      </c>
      <c r="L2" s="9" t="s">
        <v>2</v>
      </c>
      <c r="M2" s="10">
        <v>45951</v>
      </c>
    </row>
    <row r="3" spans="1:13" ht="18.75" customHeight="1" thickBot="1" x14ac:dyDescent="0.35">
      <c r="A3" s="4"/>
      <c r="B3" s="5" t="s">
        <v>3</v>
      </c>
      <c r="C3" s="9">
        <f>C102</f>
        <v>41.75</v>
      </c>
      <c r="D3" s="8" t="s">
        <v>67</v>
      </c>
      <c r="E3" s="9">
        <f>+K3*C3/K2</f>
        <v>69.583333333333329</v>
      </c>
      <c r="F3" s="12" t="s">
        <v>85</v>
      </c>
      <c r="G3" s="88">
        <f>IF(E5="",(K3*C3*0.1),(K3*E5))</f>
        <v>3700</v>
      </c>
      <c r="H3" s="11" t="s">
        <v>4</v>
      </c>
      <c r="I3" s="12">
        <v>1000</v>
      </c>
      <c r="J3" s="11" t="s">
        <v>5</v>
      </c>
      <c r="K3" s="12">
        <f>+I3*K4</f>
        <v>1000</v>
      </c>
      <c r="L3" s="11"/>
      <c r="M3" s="13"/>
    </row>
    <row r="4" spans="1:13" ht="18.75" customHeight="1" thickBot="1" x14ac:dyDescent="0.35">
      <c r="A4" s="4"/>
      <c r="B4" s="5" t="s">
        <v>6</v>
      </c>
      <c r="C4" s="9">
        <f>C106</f>
        <v>69.25</v>
      </c>
      <c r="D4" s="8" t="s">
        <v>68</v>
      </c>
      <c r="E4" s="9">
        <f>+C4-E3</f>
        <v>-0.3333333333333286</v>
      </c>
      <c r="F4" s="12" t="s">
        <v>86</v>
      </c>
      <c r="G4" s="88" t="e">
        <f ca="1">+C111*55</f>
        <v>#REF!</v>
      </c>
      <c r="H4" s="11"/>
      <c r="I4" s="13"/>
      <c r="J4" s="11" t="s">
        <v>7</v>
      </c>
      <c r="K4" s="13">
        <v>1</v>
      </c>
      <c r="L4" s="11"/>
      <c r="M4" s="13"/>
    </row>
    <row r="5" spans="1:13" ht="18.75" customHeight="1" thickBot="1" x14ac:dyDescent="0.35">
      <c r="A5" s="4"/>
      <c r="B5" s="11" t="s">
        <v>8</v>
      </c>
      <c r="C5" s="12">
        <f ca="1">C107</f>
        <v>2.5</v>
      </c>
      <c r="D5" s="8" t="s">
        <v>91</v>
      </c>
      <c r="E5" s="89">
        <v>3.7</v>
      </c>
      <c r="F5" s="12" t="s">
        <v>87</v>
      </c>
      <c r="G5" s="88" t="e">
        <f ca="1">+G3-G4</f>
        <v>#REF!</v>
      </c>
      <c r="H5" s="11" t="s">
        <v>9</v>
      </c>
      <c r="I5" s="12">
        <f ca="1">+I3/(C4+C5)</f>
        <v>17.391304347826086</v>
      </c>
      <c r="J5" s="11" t="s">
        <v>10</v>
      </c>
      <c r="K5" s="12">
        <f ca="1">+K3/(C4+C5)</f>
        <v>17.391304347826086</v>
      </c>
      <c r="L5" s="11"/>
      <c r="M5" s="13"/>
    </row>
    <row r="6" spans="1:13" ht="18.75" customHeight="1" thickBot="1" x14ac:dyDescent="0.35">
      <c r="A6" s="4"/>
      <c r="B6" s="14"/>
      <c r="C6" s="15"/>
      <c r="H6" s="15"/>
      <c r="I6" s="15"/>
      <c r="J6" s="15"/>
      <c r="K6" s="15"/>
      <c r="L6" s="16"/>
      <c r="M6" s="17"/>
    </row>
    <row r="7" spans="1:13" s="2" customFormat="1" ht="18.75" customHeight="1" x14ac:dyDescent="0.3">
      <c r="A7" s="113" t="s">
        <v>11</v>
      </c>
      <c r="B7" s="113" t="s">
        <v>12</v>
      </c>
      <c r="C7" s="18" t="s">
        <v>13</v>
      </c>
      <c r="D7" s="18" t="s">
        <v>13</v>
      </c>
      <c r="E7" s="120" t="s">
        <v>14</v>
      </c>
      <c r="F7" s="18" t="s">
        <v>15</v>
      </c>
      <c r="G7" s="18" t="s">
        <v>16</v>
      </c>
      <c r="H7" s="19" t="s">
        <v>17</v>
      </c>
      <c r="I7" s="18" t="s">
        <v>18</v>
      </c>
      <c r="J7" s="19" t="s">
        <v>19</v>
      </c>
      <c r="K7" s="19" t="s">
        <v>19</v>
      </c>
      <c r="L7" s="20" t="s">
        <v>19</v>
      </c>
      <c r="M7" s="113" t="s">
        <v>20</v>
      </c>
    </row>
    <row r="8" spans="1:13" s="2" customFormat="1" ht="18.75" customHeight="1" thickBot="1" x14ac:dyDescent="0.35">
      <c r="A8" s="114"/>
      <c r="B8" s="114"/>
      <c r="C8" s="21" t="s">
        <v>21</v>
      </c>
      <c r="D8" s="21" t="s">
        <v>22</v>
      </c>
      <c r="E8" s="121"/>
      <c r="F8" s="22" t="s">
        <v>14</v>
      </c>
      <c r="G8" s="22"/>
      <c r="H8" s="23" t="s">
        <v>23</v>
      </c>
      <c r="I8" s="21" t="s">
        <v>24</v>
      </c>
      <c r="J8" s="23" t="s">
        <v>25</v>
      </c>
      <c r="K8" s="24" t="s">
        <v>26</v>
      </c>
      <c r="L8" s="25" t="s">
        <v>27</v>
      </c>
      <c r="M8" s="114"/>
    </row>
    <row r="9" spans="1:13" ht="18.75" customHeight="1" thickBot="1" x14ac:dyDescent="0.35">
      <c r="A9" s="122" t="s">
        <v>90</v>
      </c>
      <c r="B9" s="123"/>
      <c r="C9" s="26"/>
      <c r="D9" s="27"/>
      <c r="E9" s="27"/>
      <c r="F9" s="27"/>
      <c r="G9" s="27"/>
      <c r="H9" s="27"/>
      <c r="I9" s="26"/>
      <c r="J9" s="26"/>
      <c r="K9" s="26"/>
      <c r="L9" s="26"/>
      <c r="M9" s="26"/>
    </row>
    <row r="10" spans="1:13" ht="18.75" customHeight="1" x14ac:dyDescent="0.3">
      <c r="A10" s="28">
        <v>1</v>
      </c>
      <c r="B10" s="48" t="s">
        <v>198</v>
      </c>
      <c r="C10" s="45">
        <v>1.2</v>
      </c>
      <c r="D10" s="31">
        <f t="shared" ref="D10:D16" si="0">60*C10</f>
        <v>72</v>
      </c>
      <c r="E10" s="32">
        <f t="shared" ref="E10:E16" si="1">IFERROR(60/C10,"")</f>
        <v>50</v>
      </c>
      <c r="F10" s="33">
        <f t="shared" ref="F10:F32" si="2">+$K$3/($K$2/60)</f>
        <v>100</v>
      </c>
      <c r="G10" s="43" t="s">
        <v>32</v>
      </c>
      <c r="H10" s="46"/>
      <c r="I10" s="36">
        <f>IF(C10="","",($I$3/($I$2/60)*C10/60))</f>
        <v>2</v>
      </c>
      <c r="J10" s="37">
        <f t="shared" ref="J10:J16" si="3">IFERROR(IF(I10&lt;(MROUND(I10,1)+0.125),(MROUND(I10,1)),(CEILING(I10,1))),"")</f>
        <v>2</v>
      </c>
      <c r="K10" s="38">
        <f t="shared" ref="K10:K16" si="4">IFERROR(MROUND(I10,0.25),"")</f>
        <v>2</v>
      </c>
      <c r="L10" s="39"/>
      <c r="M10" s="44"/>
    </row>
    <row r="11" spans="1:13" ht="18.75" customHeight="1" x14ac:dyDescent="0.3">
      <c r="A11" s="28">
        <f>+A10+1</f>
        <v>2</v>
      </c>
      <c r="B11" s="48" t="s">
        <v>199</v>
      </c>
      <c r="C11" s="45">
        <v>0.8</v>
      </c>
      <c r="D11" s="31">
        <f t="shared" ref="D11" si="5">60*C11</f>
        <v>48</v>
      </c>
      <c r="E11" s="32">
        <f t="shared" ref="E11" si="6">IFERROR(60/C11,"")</f>
        <v>75</v>
      </c>
      <c r="F11" s="33">
        <f t="shared" si="2"/>
        <v>100</v>
      </c>
      <c r="G11" s="46" t="s">
        <v>200</v>
      </c>
      <c r="H11" s="46"/>
      <c r="I11" s="36">
        <f t="shared" ref="I11" si="7">IF(C11="","",($I$3/($I$2/60)*C11/60))</f>
        <v>1.3333333333333333</v>
      </c>
      <c r="J11" s="37">
        <f t="shared" ref="J11" si="8">IFERROR(IF(I11&lt;(MROUND(I11,1)+0.125),(MROUND(I11,1)),(CEILING(I11,1))),"")</f>
        <v>2</v>
      </c>
      <c r="K11" s="38">
        <f t="shared" ref="K11" si="9">IFERROR(MROUND(I11,0.25),"")</f>
        <v>1.25</v>
      </c>
      <c r="L11" s="39"/>
      <c r="M11" s="44"/>
    </row>
    <row r="12" spans="1:13" ht="18.75" customHeight="1" x14ac:dyDescent="0.3">
      <c r="A12" s="28">
        <f>+A11+1</f>
        <v>3</v>
      </c>
      <c r="B12" s="48" t="s">
        <v>201</v>
      </c>
      <c r="C12" s="45">
        <v>0.6</v>
      </c>
      <c r="D12" s="31">
        <f>60*C12</f>
        <v>36</v>
      </c>
      <c r="E12" s="32">
        <f>IFERROR(60/C12,"")</f>
        <v>100</v>
      </c>
      <c r="F12" s="33">
        <f t="shared" si="2"/>
        <v>100</v>
      </c>
      <c r="G12" s="46" t="s">
        <v>32</v>
      </c>
      <c r="H12" s="46"/>
      <c r="I12" s="36">
        <f>IF(C12="","",($I$3/($I$2/60)*C12/60))</f>
        <v>1</v>
      </c>
      <c r="J12" s="37">
        <f>IFERROR(IF(I12&lt;(MROUND(I12,1)+0.125),(MROUND(I12,1)),(CEILING(I12,1))),"")</f>
        <v>1</v>
      </c>
      <c r="K12" s="38">
        <f>IFERROR(MROUND(I12,0.25),"")</f>
        <v>1</v>
      </c>
      <c r="L12" s="39"/>
      <c r="M12" s="44"/>
    </row>
    <row r="13" spans="1:13" ht="18.75" customHeight="1" x14ac:dyDescent="0.3">
      <c r="A13" s="28">
        <f t="shared" ref="A13:A15" si="10">+A12+1</f>
        <v>4</v>
      </c>
      <c r="B13" s="48" t="s">
        <v>202</v>
      </c>
      <c r="C13" s="45">
        <v>0.5</v>
      </c>
      <c r="D13" s="31">
        <f>60*C13</f>
        <v>30</v>
      </c>
      <c r="E13" s="32">
        <f>IFERROR(60/C13,"")</f>
        <v>120</v>
      </c>
      <c r="F13" s="33">
        <f t="shared" si="2"/>
        <v>100</v>
      </c>
      <c r="G13" s="46" t="s">
        <v>181</v>
      </c>
      <c r="H13" s="46"/>
      <c r="I13" s="36">
        <f>IF(C13="","",($I$3/($I$2/60)*C13/60))</f>
        <v>0.83333333333333337</v>
      </c>
      <c r="J13" s="37">
        <f>IFERROR(IF(I13&lt;(MROUND(I13,1)+0.125),(MROUND(I13,1)),(CEILING(I13,1))),"")</f>
        <v>1</v>
      </c>
      <c r="K13" s="38">
        <f>IFERROR(MROUND(I13,0.25),"")</f>
        <v>0.75</v>
      </c>
      <c r="L13" s="39"/>
      <c r="M13" s="44"/>
    </row>
    <row r="14" spans="1:13" ht="18.75" customHeight="1" x14ac:dyDescent="0.3">
      <c r="A14" s="28">
        <f t="shared" si="10"/>
        <v>5</v>
      </c>
      <c r="B14" s="48" t="s">
        <v>115</v>
      </c>
      <c r="C14" s="45">
        <v>0.45</v>
      </c>
      <c r="D14" s="31">
        <f>60*C14</f>
        <v>27</v>
      </c>
      <c r="E14" s="32">
        <f>IFERROR(60/C14,"")</f>
        <v>133.33333333333334</v>
      </c>
      <c r="F14" s="33">
        <f t="shared" si="2"/>
        <v>100</v>
      </c>
      <c r="G14" s="46" t="s">
        <v>32</v>
      </c>
      <c r="H14" s="46"/>
      <c r="I14" s="36">
        <f>IF(C14="","",($I$3/($I$2/60)*C14/60))</f>
        <v>0.75</v>
      </c>
      <c r="J14" s="37">
        <f>IFERROR(IF(I14&lt;(MROUND(I14,1)+0.125),(MROUND(I14,1)),(CEILING(I14,1))),"")</f>
        <v>1</v>
      </c>
      <c r="K14" s="38">
        <f>IFERROR(MROUND(I14,0.25),"")</f>
        <v>0.75</v>
      </c>
      <c r="L14" s="39"/>
      <c r="M14" s="44"/>
    </row>
    <row r="15" spans="1:13" ht="18.75" customHeight="1" x14ac:dyDescent="0.3">
      <c r="A15" s="28">
        <f t="shared" si="10"/>
        <v>6</v>
      </c>
      <c r="B15" s="48" t="s">
        <v>116</v>
      </c>
      <c r="C15" s="45">
        <v>0.4</v>
      </c>
      <c r="D15" s="31">
        <f t="shared" si="0"/>
        <v>24</v>
      </c>
      <c r="E15" s="32">
        <f t="shared" si="1"/>
        <v>150</v>
      </c>
      <c r="F15" s="33">
        <f t="shared" si="2"/>
        <v>100</v>
      </c>
      <c r="G15" s="46" t="s">
        <v>181</v>
      </c>
      <c r="H15" s="46"/>
      <c r="I15" s="36">
        <f t="shared" ref="I15:I16" si="11">IF(C15="","",($I$3/($I$2/60)*C15/60))</f>
        <v>0.66666666666666663</v>
      </c>
      <c r="J15" s="37">
        <f t="shared" si="3"/>
        <v>1</v>
      </c>
      <c r="K15" s="38">
        <f t="shared" si="4"/>
        <v>0.75</v>
      </c>
      <c r="L15" s="39"/>
      <c r="M15" s="44"/>
    </row>
    <row r="16" spans="1:13" ht="18.75" customHeight="1" thickBot="1" x14ac:dyDescent="0.35">
      <c r="A16" s="28">
        <f>+A15+1</f>
        <v>7</v>
      </c>
      <c r="B16" s="48"/>
      <c r="C16" s="45"/>
      <c r="D16" s="31">
        <f t="shared" si="0"/>
        <v>0</v>
      </c>
      <c r="E16" s="32" t="str">
        <f t="shared" si="1"/>
        <v/>
      </c>
      <c r="F16" s="33">
        <f t="shared" si="2"/>
        <v>100</v>
      </c>
      <c r="G16" s="46"/>
      <c r="H16" s="46"/>
      <c r="I16" s="36" t="str">
        <f t="shared" si="11"/>
        <v/>
      </c>
      <c r="J16" s="37" t="str">
        <f t="shared" si="3"/>
        <v/>
      </c>
      <c r="K16" s="38" t="str">
        <f t="shared" si="4"/>
        <v/>
      </c>
      <c r="L16" s="39"/>
      <c r="M16" s="44"/>
    </row>
    <row r="17" spans="1:13" ht="18.75" customHeight="1" thickBot="1" x14ac:dyDescent="0.35">
      <c r="A17" s="122" t="s">
        <v>88</v>
      </c>
      <c r="B17" s="123"/>
      <c r="C17" s="26">
        <f>SUM(C10:C16)</f>
        <v>3.95</v>
      </c>
      <c r="D17" s="27"/>
      <c r="E17" s="27"/>
      <c r="F17" s="27"/>
      <c r="G17" s="27"/>
      <c r="H17" s="27"/>
      <c r="I17" s="26">
        <f>SUM(I10:I16)</f>
        <v>6.583333333333333</v>
      </c>
      <c r="J17" s="26">
        <f>SUM(J10:J16)</f>
        <v>8</v>
      </c>
      <c r="K17" s="26">
        <f>SUM(K10:K16)</f>
        <v>6.5</v>
      </c>
      <c r="L17" s="26">
        <f>SUM(L10:L16)</f>
        <v>0</v>
      </c>
      <c r="M17" s="26"/>
    </row>
    <row r="18" spans="1:13" ht="18.75" customHeight="1" x14ac:dyDescent="0.3">
      <c r="A18" s="28">
        <f>+A16+1</f>
        <v>8</v>
      </c>
      <c r="B18" s="48" t="s">
        <v>203</v>
      </c>
      <c r="C18" s="45">
        <v>0.4</v>
      </c>
      <c r="D18" s="31">
        <f>60*C18</f>
        <v>24</v>
      </c>
      <c r="E18" s="32">
        <f>IFERROR(60/C18,"")</f>
        <v>150</v>
      </c>
      <c r="F18" s="33">
        <f t="shared" ref="F18:F81" si="12">+$K$3/($K$2/60)</f>
        <v>100</v>
      </c>
      <c r="G18" s="46" t="s">
        <v>28</v>
      </c>
      <c r="H18" s="46"/>
      <c r="I18" s="36">
        <f>IF(C18="","",($I$3/($I$2/60)*C18/60))</f>
        <v>0.66666666666666663</v>
      </c>
      <c r="J18" s="37">
        <f>IFERROR(IF(I18&lt;(MROUND(I18,1)+0.125),(MROUND(I18,1)),(CEILING(I18,1))),"")</f>
        <v>1</v>
      </c>
      <c r="K18" s="38">
        <f>IFERROR(MROUND(I18,0.25),"")</f>
        <v>0.75</v>
      </c>
      <c r="L18" s="39"/>
      <c r="M18" s="44"/>
    </row>
    <row r="19" spans="1:13" ht="18.75" customHeight="1" x14ac:dyDescent="0.3">
      <c r="A19" s="28">
        <f>+A18+1</f>
        <v>9</v>
      </c>
      <c r="B19" s="48" t="s">
        <v>204</v>
      </c>
      <c r="C19" s="45">
        <v>0.8</v>
      </c>
      <c r="D19" s="31">
        <f t="shared" ref="D19:D56" si="13">60*C19</f>
        <v>48</v>
      </c>
      <c r="E19" s="32">
        <f t="shared" ref="E19:E56" si="14">IFERROR(60/C19,"")</f>
        <v>75</v>
      </c>
      <c r="F19" s="33">
        <f t="shared" si="12"/>
        <v>100</v>
      </c>
      <c r="G19" s="43" t="s">
        <v>28</v>
      </c>
      <c r="H19" s="46"/>
      <c r="I19" s="36">
        <f t="shared" ref="I19:I56" si="15">IF(C19="","",($I$3/($I$2/60)*C19/60))</f>
        <v>1.3333333333333333</v>
      </c>
      <c r="J19" s="37">
        <f t="shared" ref="J19:J56" si="16">IFERROR(IF(I19&lt;(MROUND(I19,1)+0.125),(MROUND(I19,1)),(CEILING(I19,1))),"")</f>
        <v>2</v>
      </c>
      <c r="K19" s="38">
        <f t="shared" ref="K19:K56" si="17">IFERROR(MROUND(I19,0.25),"")</f>
        <v>1.25</v>
      </c>
      <c r="L19" s="39"/>
      <c r="M19" s="44"/>
    </row>
    <row r="20" spans="1:13" ht="18.75" customHeight="1" x14ac:dyDescent="0.3">
      <c r="A20" s="28">
        <f t="shared" ref="A20:A56" si="18">+A19+1</f>
        <v>10</v>
      </c>
      <c r="B20" s="48" t="s">
        <v>205</v>
      </c>
      <c r="C20" s="45">
        <v>0.5</v>
      </c>
      <c r="D20" s="31">
        <f t="shared" si="13"/>
        <v>30</v>
      </c>
      <c r="E20" s="32">
        <f t="shared" si="14"/>
        <v>120</v>
      </c>
      <c r="F20" s="33">
        <f t="shared" si="12"/>
        <v>100</v>
      </c>
      <c r="G20" s="46" t="s">
        <v>30</v>
      </c>
      <c r="H20" s="46"/>
      <c r="I20" s="36">
        <f t="shared" si="15"/>
        <v>0.83333333333333337</v>
      </c>
      <c r="J20" s="37">
        <f t="shared" si="16"/>
        <v>1</v>
      </c>
      <c r="K20" s="38">
        <f t="shared" si="17"/>
        <v>0.75</v>
      </c>
      <c r="L20" s="39"/>
      <c r="M20" s="44"/>
    </row>
    <row r="21" spans="1:13" ht="18.75" customHeight="1" x14ac:dyDescent="0.3">
      <c r="A21" s="28">
        <f t="shared" si="18"/>
        <v>11</v>
      </c>
      <c r="B21" s="48" t="s">
        <v>206</v>
      </c>
      <c r="C21" s="45">
        <v>0.4</v>
      </c>
      <c r="D21" s="31">
        <f t="shared" si="13"/>
        <v>24</v>
      </c>
      <c r="E21" s="32">
        <f t="shared" si="14"/>
        <v>150</v>
      </c>
      <c r="F21" s="33">
        <f t="shared" si="12"/>
        <v>100</v>
      </c>
      <c r="G21" s="46" t="s">
        <v>72</v>
      </c>
      <c r="H21" s="46"/>
      <c r="I21" s="36">
        <f t="shared" si="15"/>
        <v>0.66666666666666663</v>
      </c>
      <c r="J21" s="37">
        <f t="shared" si="16"/>
        <v>1</v>
      </c>
      <c r="K21" s="38">
        <f t="shared" si="17"/>
        <v>0.75</v>
      </c>
      <c r="L21" s="39"/>
      <c r="M21" s="44"/>
    </row>
    <row r="22" spans="1:13" ht="18.75" customHeight="1" x14ac:dyDescent="0.3">
      <c r="A22" s="28">
        <f t="shared" si="18"/>
        <v>12</v>
      </c>
      <c r="B22" s="48" t="s">
        <v>207</v>
      </c>
      <c r="C22" s="45">
        <v>0.5</v>
      </c>
      <c r="D22" s="31">
        <f t="shared" si="13"/>
        <v>30</v>
      </c>
      <c r="E22" s="32">
        <f t="shared" si="14"/>
        <v>120</v>
      </c>
      <c r="F22" s="33">
        <f t="shared" si="12"/>
        <v>100</v>
      </c>
      <c r="G22" s="46" t="s">
        <v>30</v>
      </c>
      <c r="H22" s="46"/>
      <c r="I22" s="36">
        <f t="shared" si="15"/>
        <v>0.83333333333333337</v>
      </c>
      <c r="J22" s="37">
        <f t="shared" si="16"/>
        <v>1</v>
      </c>
      <c r="K22" s="38">
        <f t="shared" si="17"/>
        <v>0.75</v>
      </c>
      <c r="L22" s="39"/>
      <c r="M22" s="44"/>
    </row>
    <row r="23" spans="1:13" ht="18.75" customHeight="1" x14ac:dyDescent="0.3">
      <c r="A23" s="28">
        <f t="shared" si="18"/>
        <v>13</v>
      </c>
      <c r="B23" s="48" t="s">
        <v>208</v>
      </c>
      <c r="C23" s="45">
        <v>0.4</v>
      </c>
      <c r="D23" s="31">
        <f t="shared" si="13"/>
        <v>24</v>
      </c>
      <c r="E23" s="32">
        <f t="shared" si="14"/>
        <v>150</v>
      </c>
      <c r="F23" s="33">
        <f t="shared" si="12"/>
        <v>100</v>
      </c>
      <c r="G23" s="46" t="s">
        <v>28</v>
      </c>
      <c r="H23" s="46"/>
      <c r="I23" s="36">
        <f t="shared" si="15"/>
        <v>0.66666666666666663</v>
      </c>
      <c r="J23" s="37">
        <f t="shared" si="16"/>
        <v>1</v>
      </c>
      <c r="K23" s="38">
        <f t="shared" si="17"/>
        <v>0.75</v>
      </c>
      <c r="L23" s="39"/>
      <c r="M23" s="44"/>
    </row>
    <row r="24" spans="1:13" ht="18.75" customHeight="1" x14ac:dyDescent="0.3">
      <c r="A24" s="28">
        <f t="shared" si="18"/>
        <v>14</v>
      </c>
      <c r="B24" s="48" t="s">
        <v>110</v>
      </c>
      <c r="C24" s="45">
        <v>0.7</v>
      </c>
      <c r="D24" s="31">
        <f t="shared" si="13"/>
        <v>42</v>
      </c>
      <c r="E24" s="32">
        <f t="shared" si="14"/>
        <v>85.714285714285722</v>
      </c>
      <c r="F24" s="33">
        <f t="shared" si="12"/>
        <v>100</v>
      </c>
      <c r="G24" s="46" t="s">
        <v>29</v>
      </c>
      <c r="H24" s="46"/>
      <c r="I24" s="36">
        <f t="shared" si="15"/>
        <v>1.1666666666666667</v>
      </c>
      <c r="J24" s="37">
        <f t="shared" si="16"/>
        <v>2</v>
      </c>
      <c r="K24" s="38">
        <f t="shared" si="17"/>
        <v>1.25</v>
      </c>
      <c r="L24" s="39"/>
      <c r="M24" s="44"/>
    </row>
    <row r="25" spans="1:13" ht="18.75" customHeight="1" x14ac:dyDescent="0.3">
      <c r="A25" s="28">
        <f t="shared" si="18"/>
        <v>15</v>
      </c>
      <c r="B25" s="48"/>
      <c r="C25" s="45"/>
      <c r="D25" s="31">
        <f t="shared" si="13"/>
        <v>0</v>
      </c>
      <c r="E25" s="32" t="str">
        <f t="shared" si="14"/>
        <v/>
      </c>
      <c r="F25" s="33">
        <f t="shared" si="12"/>
        <v>100</v>
      </c>
      <c r="G25" s="46"/>
      <c r="H25" s="46"/>
      <c r="I25" s="36" t="str">
        <f t="shared" si="15"/>
        <v/>
      </c>
      <c r="J25" s="37" t="str">
        <f t="shared" si="16"/>
        <v/>
      </c>
      <c r="K25" s="38" t="str">
        <f t="shared" si="17"/>
        <v/>
      </c>
      <c r="L25" s="39"/>
      <c r="M25" s="44"/>
    </row>
    <row r="26" spans="1:13" ht="18.75" customHeight="1" x14ac:dyDescent="0.3">
      <c r="A26" s="28">
        <f t="shared" si="18"/>
        <v>16</v>
      </c>
      <c r="B26" s="48" t="s">
        <v>209</v>
      </c>
      <c r="C26" s="45">
        <v>0.3</v>
      </c>
      <c r="D26" s="31">
        <f t="shared" ref="D26:D36" si="19">60*C26</f>
        <v>18</v>
      </c>
      <c r="E26" s="32">
        <f t="shared" ref="E26:E36" si="20">IFERROR(60/C26,"")</f>
        <v>200</v>
      </c>
      <c r="F26" s="33">
        <f t="shared" si="2"/>
        <v>100</v>
      </c>
      <c r="G26" s="46" t="s">
        <v>30</v>
      </c>
      <c r="H26" s="46"/>
      <c r="I26" s="36">
        <f t="shared" ref="I26:I36" si="21">IF(C26="","",($I$3/($I$2/60)*C26/60))</f>
        <v>0.5</v>
      </c>
      <c r="J26" s="37">
        <f t="shared" ref="J26:J36" si="22">IFERROR(IF(I26&lt;(MROUND(I26,1)+0.125),(MROUND(I26,1)),(CEILING(I26,1))),"")</f>
        <v>1</v>
      </c>
      <c r="K26" s="38">
        <f t="shared" ref="K26:K36" si="23">IFERROR(MROUND(I26,0.25),"")</f>
        <v>0.5</v>
      </c>
      <c r="L26" s="39"/>
      <c r="M26" s="44"/>
    </row>
    <row r="27" spans="1:13" ht="18.75" customHeight="1" x14ac:dyDescent="0.3">
      <c r="A27" s="28">
        <f t="shared" si="18"/>
        <v>17</v>
      </c>
      <c r="B27" s="48" t="s">
        <v>210</v>
      </c>
      <c r="C27" s="45">
        <v>0.25</v>
      </c>
      <c r="D27" s="31">
        <f t="shared" si="19"/>
        <v>15</v>
      </c>
      <c r="E27" s="32">
        <f t="shared" si="20"/>
        <v>240</v>
      </c>
      <c r="F27" s="33">
        <f t="shared" si="2"/>
        <v>100</v>
      </c>
      <c r="G27" s="46" t="s">
        <v>72</v>
      </c>
      <c r="H27" s="46"/>
      <c r="I27" s="36">
        <f t="shared" si="21"/>
        <v>0.41666666666666669</v>
      </c>
      <c r="J27" s="37">
        <f t="shared" si="22"/>
        <v>1</v>
      </c>
      <c r="K27" s="38">
        <f t="shared" si="23"/>
        <v>0.5</v>
      </c>
      <c r="L27" s="39"/>
      <c r="M27" s="44"/>
    </row>
    <row r="28" spans="1:13" ht="18.75" customHeight="1" x14ac:dyDescent="0.3">
      <c r="A28" s="28">
        <f t="shared" si="18"/>
        <v>18</v>
      </c>
      <c r="B28" s="48" t="s">
        <v>211</v>
      </c>
      <c r="C28" s="45">
        <v>0.3</v>
      </c>
      <c r="D28" s="31">
        <f t="shared" si="19"/>
        <v>18</v>
      </c>
      <c r="E28" s="32">
        <f t="shared" si="20"/>
        <v>200</v>
      </c>
      <c r="F28" s="33">
        <f t="shared" si="2"/>
        <v>100</v>
      </c>
      <c r="G28" s="46" t="s">
        <v>30</v>
      </c>
      <c r="H28" s="46"/>
      <c r="I28" s="36">
        <f t="shared" si="21"/>
        <v>0.5</v>
      </c>
      <c r="J28" s="37">
        <f t="shared" si="22"/>
        <v>1</v>
      </c>
      <c r="K28" s="38">
        <f t="shared" si="23"/>
        <v>0.5</v>
      </c>
      <c r="L28" s="39"/>
      <c r="M28" s="44"/>
    </row>
    <row r="29" spans="1:13" ht="18.75" customHeight="1" x14ac:dyDescent="0.3">
      <c r="A29" s="28">
        <f t="shared" si="18"/>
        <v>19</v>
      </c>
      <c r="B29" s="48" t="s">
        <v>212</v>
      </c>
      <c r="C29" s="45">
        <v>0.35</v>
      </c>
      <c r="D29" s="31">
        <f t="shared" si="19"/>
        <v>21</v>
      </c>
      <c r="E29" s="32">
        <f t="shared" si="20"/>
        <v>171.42857142857144</v>
      </c>
      <c r="F29" s="33">
        <f t="shared" si="2"/>
        <v>100</v>
      </c>
      <c r="G29" s="46" t="s">
        <v>72</v>
      </c>
      <c r="H29" s="46"/>
      <c r="I29" s="36">
        <f t="shared" si="21"/>
        <v>0.58333333333333337</v>
      </c>
      <c r="J29" s="37">
        <f t="shared" si="22"/>
        <v>1</v>
      </c>
      <c r="K29" s="38">
        <f t="shared" si="23"/>
        <v>0.5</v>
      </c>
      <c r="L29" s="39"/>
      <c r="M29" s="44"/>
    </row>
    <row r="30" spans="1:13" ht="18.75" customHeight="1" x14ac:dyDescent="0.3">
      <c r="A30" s="28">
        <f t="shared" si="18"/>
        <v>20</v>
      </c>
      <c r="B30" s="48" t="s">
        <v>213</v>
      </c>
      <c r="C30" s="45">
        <v>0.4</v>
      </c>
      <c r="D30" s="31">
        <f t="shared" si="19"/>
        <v>24</v>
      </c>
      <c r="E30" s="32">
        <f t="shared" si="20"/>
        <v>150</v>
      </c>
      <c r="F30" s="33">
        <f t="shared" si="2"/>
        <v>100</v>
      </c>
      <c r="G30" s="46" t="s">
        <v>30</v>
      </c>
      <c r="H30" s="46"/>
      <c r="I30" s="36">
        <f t="shared" si="21"/>
        <v>0.66666666666666663</v>
      </c>
      <c r="J30" s="37">
        <f t="shared" si="22"/>
        <v>1</v>
      </c>
      <c r="K30" s="38">
        <f t="shared" si="23"/>
        <v>0.75</v>
      </c>
      <c r="L30" s="39"/>
      <c r="M30" s="44"/>
    </row>
    <row r="31" spans="1:13" ht="18.75" customHeight="1" x14ac:dyDescent="0.3">
      <c r="A31" s="28">
        <f t="shared" si="18"/>
        <v>21</v>
      </c>
      <c r="B31" s="48" t="s">
        <v>214</v>
      </c>
      <c r="C31" s="45">
        <v>0.5</v>
      </c>
      <c r="D31" s="31">
        <f t="shared" si="19"/>
        <v>30</v>
      </c>
      <c r="E31" s="32">
        <f t="shared" si="20"/>
        <v>120</v>
      </c>
      <c r="F31" s="33">
        <f t="shared" si="2"/>
        <v>100</v>
      </c>
      <c r="G31" s="46" t="s">
        <v>30</v>
      </c>
      <c r="H31" s="46"/>
      <c r="I31" s="36">
        <f t="shared" si="21"/>
        <v>0.83333333333333337</v>
      </c>
      <c r="J31" s="37">
        <f t="shared" si="22"/>
        <v>1</v>
      </c>
      <c r="K31" s="38">
        <f t="shared" si="23"/>
        <v>0.75</v>
      </c>
      <c r="L31" s="39"/>
      <c r="M31" s="44"/>
    </row>
    <row r="32" spans="1:13" ht="18.75" customHeight="1" x14ac:dyDescent="0.3">
      <c r="A32" s="28">
        <f t="shared" si="18"/>
        <v>22</v>
      </c>
      <c r="B32" s="48" t="s">
        <v>215</v>
      </c>
      <c r="C32" s="45">
        <v>0.25</v>
      </c>
      <c r="D32" s="31">
        <f t="shared" si="19"/>
        <v>15</v>
      </c>
      <c r="E32" s="32">
        <f t="shared" si="20"/>
        <v>240</v>
      </c>
      <c r="F32" s="33">
        <f t="shared" si="2"/>
        <v>100</v>
      </c>
      <c r="G32" s="46" t="s">
        <v>35</v>
      </c>
      <c r="H32" s="46"/>
      <c r="I32" s="36">
        <f t="shared" si="21"/>
        <v>0.41666666666666669</v>
      </c>
      <c r="J32" s="37">
        <f t="shared" si="22"/>
        <v>1</v>
      </c>
      <c r="K32" s="38">
        <f t="shared" si="23"/>
        <v>0.5</v>
      </c>
      <c r="L32" s="39"/>
      <c r="M32" s="44"/>
    </row>
    <row r="33" spans="1:13" ht="18.75" customHeight="1" x14ac:dyDescent="0.3">
      <c r="A33" s="28">
        <f t="shared" si="18"/>
        <v>23</v>
      </c>
      <c r="B33" s="48" t="s">
        <v>216</v>
      </c>
      <c r="C33" s="45">
        <v>0.7</v>
      </c>
      <c r="D33" s="31">
        <f t="shared" si="19"/>
        <v>42</v>
      </c>
      <c r="E33" s="32">
        <f t="shared" si="20"/>
        <v>85.714285714285722</v>
      </c>
      <c r="F33" s="33">
        <f t="shared" si="12"/>
        <v>100</v>
      </c>
      <c r="G33" s="46" t="s">
        <v>30</v>
      </c>
      <c r="H33" s="46"/>
      <c r="I33" s="36">
        <f t="shared" si="21"/>
        <v>1.1666666666666667</v>
      </c>
      <c r="J33" s="37">
        <f t="shared" si="22"/>
        <v>2</v>
      </c>
      <c r="K33" s="38">
        <f t="shared" si="23"/>
        <v>1.25</v>
      </c>
      <c r="L33" s="39"/>
      <c r="M33" s="44"/>
    </row>
    <row r="34" spans="1:13" ht="18.75" customHeight="1" x14ac:dyDescent="0.3">
      <c r="A34" s="28">
        <f t="shared" si="18"/>
        <v>24</v>
      </c>
      <c r="B34" s="101"/>
      <c r="C34" s="45"/>
      <c r="D34" s="31">
        <f t="shared" si="19"/>
        <v>0</v>
      </c>
      <c r="E34" s="32" t="str">
        <f t="shared" si="20"/>
        <v/>
      </c>
      <c r="F34" s="33">
        <f t="shared" si="12"/>
        <v>100</v>
      </c>
      <c r="G34" s="46"/>
      <c r="H34" s="46"/>
      <c r="I34" s="36" t="str">
        <f t="shared" si="21"/>
        <v/>
      </c>
      <c r="J34" s="37" t="str">
        <f t="shared" si="22"/>
        <v/>
      </c>
      <c r="K34" s="38" t="str">
        <f t="shared" si="23"/>
        <v/>
      </c>
      <c r="L34" s="39"/>
      <c r="M34" s="44"/>
    </row>
    <row r="35" spans="1:13" ht="18.75" customHeight="1" x14ac:dyDescent="0.3">
      <c r="A35" s="28">
        <f t="shared" si="18"/>
        <v>25</v>
      </c>
      <c r="B35" s="101" t="s">
        <v>217</v>
      </c>
      <c r="C35" s="45">
        <v>0.55000000000000004</v>
      </c>
      <c r="D35" s="31">
        <f t="shared" si="19"/>
        <v>33</v>
      </c>
      <c r="E35" s="32">
        <f t="shared" si="20"/>
        <v>109.09090909090908</v>
      </c>
      <c r="F35" s="33">
        <f t="shared" si="12"/>
        <v>100</v>
      </c>
      <c r="G35" s="46" t="s">
        <v>30</v>
      </c>
      <c r="H35" s="46"/>
      <c r="I35" s="36">
        <f t="shared" si="21"/>
        <v>0.91666666666666674</v>
      </c>
      <c r="J35" s="37">
        <f t="shared" si="22"/>
        <v>1</v>
      </c>
      <c r="K35" s="38">
        <f t="shared" si="23"/>
        <v>1</v>
      </c>
      <c r="L35" s="39"/>
      <c r="M35" s="44"/>
    </row>
    <row r="36" spans="1:13" ht="18.75" customHeight="1" x14ac:dyDescent="0.3">
      <c r="A36" s="28">
        <f t="shared" si="18"/>
        <v>26</v>
      </c>
      <c r="B36" s="101" t="s">
        <v>218</v>
      </c>
      <c r="C36" s="45">
        <v>1.2</v>
      </c>
      <c r="D36" s="31">
        <f t="shared" si="19"/>
        <v>72</v>
      </c>
      <c r="E36" s="32">
        <f t="shared" si="20"/>
        <v>50</v>
      </c>
      <c r="F36" s="33">
        <f t="shared" si="12"/>
        <v>100</v>
      </c>
      <c r="G36" s="46" t="s">
        <v>30</v>
      </c>
      <c r="H36" s="46"/>
      <c r="I36" s="36">
        <f t="shared" si="21"/>
        <v>2</v>
      </c>
      <c r="J36" s="37">
        <f t="shared" si="22"/>
        <v>2</v>
      </c>
      <c r="K36" s="38">
        <f t="shared" si="23"/>
        <v>2</v>
      </c>
      <c r="L36" s="39"/>
      <c r="M36" s="44"/>
    </row>
    <row r="37" spans="1:13" ht="18.75" customHeight="1" x14ac:dyDescent="0.3">
      <c r="A37" s="28">
        <f t="shared" si="18"/>
        <v>27</v>
      </c>
      <c r="B37" s="101" t="s">
        <v>219</v>
      </c>
      <c r="C37" s="45">
        <v>0.6</v>
      </c>
      <c r="D37" s="31">
        <f t="shared" ref="D37:D40" si="24">60*C37</f>
        <v>36</v>
      </c>
      <c r="E37" s="32">
        <f t="shared" ref="E37:E40" si="25">IFERROR(60/C37,"")</f>
        <v>100</v>
      </c>
      <c r="F37" s="33">
        <f t="shared" si="12"/>
        <v>100</v>
      </c>
      <c r="G37" s="46" t="s">
        <v>33</v>
      </c>
      <c r="H37" s="46"/>
      <c r="I37" s="36">
        <f t="shared" ref="I37:I40" si="26">IF(C37="","",($I$3/($I$2/60)*C37/60))</f>
        <v>1</v>
      </c>
      <c r="J37" s="37">
        <f t="shared" ref="J37:J40" si="27">IFERROR(IF(I37&lt;(MROUND(I37,1)+0.125),(MROUND(I37,1)),(CEILING(I37,1))),"")</f>
        <v>1</v>
      </c>
      <c r="K37" s="38">
        <f t="shared" ref="K37:K40" si="28">IFERROR(MROUND(I37,0.25),"")</f>
        <v>1</v>
      </c>
      <c r="L37" s="39"/>
      <c r="M37" s="44"/>
    </row>
    <row r="38" spans="1:13" ht="18.75" customHeight="1" x14ac:dyDescent="0.3">
      <c r="A38" s="28">
        <f t="shared" si="18"/>
        <v>28</v>
      </c>
      <c r="B38" s="101" t="s">
        <v>220</v>
      </c>
      <c r="C38" s="45">
        <v>0.8</v>
      </c>
      <c r="D38" s="31">
        <f t="shared" si="24"/>
        <v>48</v>
      </c>
      <c r="E38" s="32">
        <f t="shared" si="25"/>
        <v>75</v>
      </c>
      <c r="F38" s="33">
        <f t="shared" si="12"/>
        <v>100</v>
      </c>
      <c r="G38" s="46" t="s">
        <v>184</v>
      </c>
      <c r="H38" s="46"/>
      <c r="I38" s="36">
        <f t="shared" si="26"/>
        <v>1.3333333333333333</v>
      </c>
      <c r="J38" s="37">
        <f t="shared" si="27"/>
        <v>2</v>
      </c>
      <c r="K38" s="38">
        <f t="shared" si="28"/>
        <v>1.25</v>
      </c>
      <c r="L38" s="39"/>
      <c r="M38" s="44"/>
    </row>
    <row r="39" spans="1:13" ht="18.75" customHeight="1" x14ac:dyDescent="0.3">
      <c r="A39" s="28">
        <f t="shared" si="18"/>
        <v>29</v>
      </c>
      <c r="B39" s="101"/>
      <c r="C39" s="45"/>
      <c r="D39" s="31">
        <f t="shared" si="24"/>
        <v>0</v>
      </c>
      <c r="E39" s="32" t="str">
        <f t="shared" si="25"/>
        <v/>
      </c>
      <c r="F39" s="33">
        <f t="shared" si="12"/>
        <v>100</v>
      </c>
      <c r="G39" s="46"/>
      <c r="H39" s="46"/>
      <c r="I39" s="36" t="str">
        <f t="shared" si="26"/>
        <v/>
      </c>
      <c r="J39" s="37" t="str">
        <f t="shared" si="27"/>
        <v/>
      </c>
      <c r="K39" s="38" t="str">
        <f t="shared" si="28"/>
        <v/>
      </c>
      <c r="L39" s="39"/>
      <c r="M39" s="44"/>
    </row>
    <row r="40" spans="1:13" ht="18.75" customHeight="1" x14ac:dyDescent="0.3">
      <c r="A40" s="28">
        <f t="shared" si="18"/>
        <v>30</v>
      </c>
      <c r="B40" s="101" t="s">
        <v>221</v>
      </c>
      <c r="C40" s="45">
        <v>0.2</v>
      </c>
      <c r="D40" s="31">
        <f t="shared" si="24"/>
        <v>12</v>
      </c>
      <c r="E40" s="32">
        <f t="shared" si="25"/>
        <v>300</v>
      </c>
      <c r="F40" s="33">
        <f t="shared" si="12"/>
        <v>100</v>
      </c>
      <c r="G40" s="46" t="s">
        <v>72</v>
      </c>
      <c r="H40" s="46"/>
      <c r="I40" s="36">
        <f t="shared" si="26"/>
        <v>0.33333333333333331</v>
      </c>
      <c r="J40" s="37">
        <f t="shared" si="27"/>
        <v>1</v>
      </c>
      <c r="K40" s="38">
        <f t="shared" si="28"/>
        <v>0.25</v>
      </c>
      <c r="L40" s="39"/>
      <c r="M40" s="44"/>
    </row>
    <row r="41" spans="1:13" ht="18.75" customHeight="1" x14ac:dyDescent="0.3">
      <c r="A41" s="28">
        <f t="shared" si="18"/>
        <v>31</v>
      </c>
      <c r="B41" s="101" t="s">
        <v>222</v>
      </c>
      <c r="C41" s="45">
        <v>0.25</v>
      </c>
      <c r="D41" s="31">
        <f>60*C41</f>
        <v>15</v>
      </c>
      <c r="E41" s="32">
        <f>IFERROR(60/C41,"")</f>
        <v>240</v>
      </c>
      <c r="F41" s="33">
        <f t="shared" si="12"/>
        <v>100</v>
      </c>
      <c r="G41" s="46" t="s">
        <v>30</v>
      </c>
      <c r="H41" s="46"/>
      <c r="I41" s="36">
        <f>IF(C41="","",($I$3/($I$2/60)*C41/60))</f>
        <v>0.41666666666666669</v>
      </c>
      <c r="J41" s="37">
        <f>IFERROR(IF(I41&lt;(MROUND(I41,1)+0.125),(MROUND(I41,1)),(CEILING(I41,1))),"")</f>
        <v>1</v>
      </c>
      <c r="K41" s="38">
        <f>IFERROR(MROUND(I41,0.25),"")</f>
        <v>0.5</v>
      </c>
      <c r="L41" s="39"/>
      <c r="M41" s="44"/>
    </row>
    <row r="42" spans="1:13" ht="18.75" customHeight="1" x14ac:dyDescent="0.3">
      <c r="A42" s="28">
        <f t="shared" si="18"/>
        <v>32</v>
      </c>
      <c r="B42" s="101" t="s">
        <v>182</v>
      </c>
      <c r="C42" s="45">
        <v>0.35</v>
      </c>
      <c r="D42" s="31">
        <f t="shared" ref="D42:D55" si="29">60*C42</f>
        <v>21</v>
      </c>
      <c r="E42" s="32">
        <f t="shared" ref="E42" si="30">IFERROR(60/C42,"")</f>
        <v>171.42857142857144</v>
      </c>
      <c r="F42" s="33">
        <f t="shared" si="12"/>
        <v>100</v>
      </c>
      <c r="G42" s="46" t="s">
        <v>32</v>
      </c>
      <c r="H42" s="46"/>
      <c r="I42" s="36">
        <f t="shared" ref="I42" si="31">IF(C42="","",($I$3/($I$2/60)*C42/60))</f>
        <v>0.58333333333333337</v>
      </c>
      <c r="J42" s="37">
        <f t="shared" ref="J42:J55" si="32">IFERROR(IF(I42&lt;(MROUND(I42,1)+0.125),(MROUND(I42,1)),(CEILING(I42,1))),"")</f>
        <v>1</v>
      </c>
      <c r="K42" s="38">
        <f t="shared" ref="K42" si="33">IFERROR(MROUND(I42,0.25),"")</f>
        <v>0.5</v>
      </c>
      <c r="L42" s="39"/>
      <c r="M42" s="44"/>
    </row>
    <row r="43" spans="1:13" ht="18.75" customHeight="1" x14ac:dyDescent="0.3">
      <c r="A43" s="28">
        <f t="shared" si="18"/>
        <v>33</v>
      </c>
      <c r="B43" s="101" t="s">
        <v>223</v>
      </c>
      <c r="C43" s="45">
        <v>0.35</v>
      </c>
      <c r="D43" s="31">
        <f t="shared" si="29"/>
        <v>21</v>
      </c>
      <c r="E43" s="32">
        <f t="shared" ref="E43:E55" si="34">IFERROR(60/C43,"")</f>
        <v>171.42857142857144</v>
      </c>
      <c r="F43" s="33">
        <f t="shared" si="12"/>
        <v>100</v>
      </c>
      <c r="G43" s="46" t="s">
        <v>29</v>
      </c>
      <c r="H43" s="46"/>
      <c r="I43" s="36">
        <f t="shared" ref="I43:I55" si="35">IF(C43="","",($I$3/($I$2/60)*C43/60))</f>
        <v>0.58333333333333337</v>
      </c>
      <c r="J43" s="37">
        <f t="shared" si="32"/>
        <v>1</v>
      </c>
      <c r="K43" s="38">
        <f t="shared" ref="K43:K55" si="36">IFERROR(MROUND(I43,0.25),"")</f>
        <v>0.5</v>
      </c>
      <c r="L43" s="39"/>
      <c r="M43" s="44"/>
    </row>
    <row r="44" spans="1:13" ht="18.75" customHeight="1" x14ac:dyDescent="0.3">
      <c r="A44" s="28">
        <f t="shared" si="18"/>
        <v>34</v>
      </c>
      <c r="B44" s="101" t="s">
        <v>224</v>
      </c>
      <c r="C44" s="45">
        <v>0.35</v>
      </c>
      <c r="D44" s="31">
        <f>60*C44</f>
        <v>21</v>
      </c>
      <c r="E44" s="32">
        <f>IFERROR(60/C44,"")</f>
        <v>171.42857142857144</v>
      </c>
      <c r="F44" s="33">
        <f t="shared" si="12"/>
        <v>100</v>
      </c>
      <c r="G44" s="46" t="s">
        <v>30</v>
      </c>
      <c r="H44" s="46"/>
      <c r="I44" s="36">
        <f>IF(C44="","",($I$3/($I$2/60)*C44/60))</f>
        <v>0.58333333333333337</v>
      </c>
      <c r="J44" s="37">
        <f>IFERROR(IF(I44&lt;(MROUND(I44,1)+0.125),(MROUND(I44,1)),(CEILING(I44,1))),"")</f>
        <v>1</v>
      </c>
      <c r="K44" s="38">
        <f>IFERROR(MROUND(I44,0.25),"")</f>
        <v>0.5</v>
      </c>
      <c r="L44" s="39"/>
      <c r="M44" s="44"/>
    </row>
    <row r="45" spans="1:13" ht="18.75" customHeight="1" x14ac:dyDescent="0.3">
      <c r="A45" s="28">
        <f t="shared" si="18"/>
        <v>35</v>
      </c>
      <c r="B45" s="101" t="s">
        <v>183</v>
      </c>
      <c r="C45" s="45">
        <v>0.25</v>
      </c>
      <c r="D45" s="31">
        <f t="shared" si="29"/>
        <v>15</v>
      </c>
      <c r="E45" s="32">
        <f t="shared" si="34"/>
        <v>240</v>
      </c>
      <c r="F45" s="33">
        <f t="shared" si="12"/>
        <v>100</v>
      </c>
      <c r="G45" s="46" t="s">
        <v>30</v>
      </c>
      <c r="H45" s="46"/>
      <c r="I45" s="36">
        <f t="shared" si="35"/>
        <v>0.41666666666666669</v>
      </c>
      <c r="J45" s="37">
        <f t="shared" si="32"/>
        <v>1</v>
      </c>
      <c r="K45" s="38">
        <f t="shared" si="36"/>
        <v>0.5</v>
      </c>
      <c r="L45" s="39"/>
      <c r="M45" s="44"/>
    </row>
    <row r="46" spans="1:13" ht="18.75" customHeight="1" x14ac:dyDescent="0.3">
      <c r="A46" s="28">
        <f t="shared" si="18"/>
        <v>36</v>
      </c>
      <c r="B46" s="101" t="s">
        <v>225</v>
      </c>
      <c r="C46" s="45">
        <v>0.35</v>
      </c>
      <c r="D46" s="31">
        <f t="shared" si="29"/>
        <v>21</v>
      </c>
      <c r="E46" s="32">
        <f t="shared" si="34"/>
        <v>171.42857142857144</v>
      </c>
      <c r="F46" s="33">
        <f t="shared" si="12"/>
        <v>100</v>
      </c>
      <c r="G46" s="46" t="s">
        <v>30</v>
      </c>
      <c r="H46" s="46"/>
      <c r="I46" s="36">
        <f t="shared" si="35"/>
        <v>0.58333333333333337</v>
      </c>
      <c r="J46" s="37">
        <f t="shared" si="32"/>
        <v>1</v>
      </c>
      <c r="K46" s="38">
        <f t="shared" si="36"/>
        <v>0.5</v>
      </c>
      <c r="L46" s="39"/>
      <c r="M46" s="44"/>
    </row>
    <row r="47" spans="1:13" ht="18.75" customHeight="1" x14ac:dyDescent="0.3">
      <c r="A47" s="28">
        <f t="shared" si="18"/>
        <v>37</v>
      </c>
      <c r="B47" s="101" t="s">
        <v>226</v>
      </c>
      <c r="C47" s="45">
        <v>0.25</v>
      </c>
      <c r="D47" s="31">
        <f>60*C47</f>
        <v>15</v>
      </c>
      <c r="E47" s="32">
        <f>IFERROR(60/C47,"")</f>
        <v>240</v>
      </c>
      <c r="F47" s="33">
        <f t="shared" si="12"/>
        <v>100</v>
      </c>
      <c r="G47" s="46" t="s">
        <v>35</v>
      </c>
      <c r="H47" s="46"/>
      <c r="I47" s="36">
        <f>IF(C47="","",($I$3/($I$2/60)*C47/60))</f>
        <v>0.41666666666666669</v>
      </c>
      <c r="J47" s="37">
        <f>IFERROR(IF(I47&lt;(MROUND(I47,1)+0.125),(MROUND(I47,1)),(CEILING(I47,1))),"")</f>
        <v>1</v>
      </c>
      <c r="K47" s="38">
        <f>IFERROR(MROUND(I47,0.25),"")</f>
        <v>0.5</v>
      </c>
      <c r="L47" s="39"/>
      <c r="M47" s="44"/>
    </row>
    <row r="48" spans="1:13" ht="18.75" customHeight="1" x14ac:dyDescent="0.3">
      <c r="A48" s="28">
        <f t="shared" si="18"/>
        <v>38</v>
      </c>
      <c r="B48" s="101"/>
      <c r="C48" s="45"/>
      <c r="D48" s="31">
        <f t="shared" si="29"/>
        <v>0</v>
      </c>
      <c r="E48" s="32" t="str">
        <f t="shared" si="34"/>
        <v/>
      </c>
      <c r="F48" s="33">
        <f t="shared" si="12"/>
        <v>100</v>
      </c>
      <c r="G48" s="46"/>
      <c r="H48" s="46"/>
      <c r="I48" s="36" t="str">
        <f t="shared" si="35"/>
        <v/>
      </c>
      <c r="J48" s="37" t="str">
        <f t="shared" si="32"/>
        <v/>
      </c>
      <c r="K48" s="38" t="str">
        <f t="shared" si="36"/>
        <v/>
      </c>
      <c r="L48" s="39"/>
      <c r="M48" s="44"/>
    </row>
    <row r="49" spans="1:13" ht="18.75" customHeight="1" x14ac:dyDescent="0.3">
      <c r="A49" s="28">
        <f t="shared" si="18"/>
        <v>39</v>
      </c>
      <c r="B49" s="101" t="s">
        <v>227</v>
      </c>
      <c r="C49" s="45">
        <v>1</v>
      </c>
      <c r="D49" s="31">
        <f t="shared" si="29"/>
        <v>60</v>
      </c>
      <c r="E49" s="32">
        <f t="shared" si="34"/>
        <v>60</v>
      </c>
      <c r="F49" s="33">
        <f t="shared" si="12"/>
        <v>100</v>
      </c>
      <c r="G49" s="46" t="s">
        <v>32</v>
      </c>
      <c r="H49" s="46"/>
      <c r="I49" s="36">
        <f t="shared" si="35"/>
        <v>1.6666666666666667</v>
      </c>
      <c r="J49" s="37">
        <f t="shared" si="32"/>
        <v>2</v>
      </c>
      <c r="K49" s="38">
        <f t="shared" si="36"/>
        <v>1.75</v>
      </c>
      <c r="L49" s="39"/>
      <c r="M49" s="44"/>
    </row>
    <row r="50" spans="1:13" ht="18.75" customHeight="1" x14ac:dyDescent="0.3">
      <c r="A50" s="28">
        <f t="shared" si="18"/>
        <v>40</v>
      </c>
      <c r="B50" s="101" t="s">
        <v>228</v>
      </c>
      <c r="C50" s="45">
        <v>0.7</v>
      </c>
      <c r="D50" s="31">
        <f t="shared" si="29"/>
        <v>42</v>
      </c>
      <c r="E50" s="32">
        <f t="shared" si="34"/>
        <v>85.714285714285722</v>
      </c>
      <c r="F50" s="33">
        <f t="shared" si="12"/>
        <v>100</v>
      </c>
      <c r="G50" s="46" t="s">
        <v>200</v>
      </c>
      <c r="H50" s="46"/>
      <c r="I50" s="36">
        <f t="shared" si="35"/>
        <v>1.1666666666666667</v>
      </c>
      <c r="J50" s="37">
        <f t="shared" si="32"/>
        <v>2</v>
      </c>
      <c r="K50" s="38">
        <f t="shared" si="36"/>
        <v>1.25</v>
      </c>
      <c r="L50" s="39"/>
      <c r="M50" s="44"/>
    </row>
    <row r="51" spans="1:13" ht="18.75" customHeight="1" x14ac:dyDescent="0.3">
      <c r="A51" s="28">
        <f t="shared" si="18"/>
        <v>41</v>
      </c>
      <c r="B51" s="101" t="s">
        <v>229</v>
      </c>
      <c r="C51" s="45">
        <v>1</v>
      </c>
      <c r="D51" s="31">
        <f t="shared" si="29"/>
        <v>60</v>
      </c>
      <c r="E51" s="32">
        <f t="shared" si="34"/>
        <v>60</v>
      </c>
      <c r="F51" s="33">
        <f t="shared" si="12"/>
        <v>100</v>
      </c>
      <c r="G51" s="46" t="s">
        <v>30</v>
      </c>
      <c r="H51" s="46"/>
      <c r="I51" s="36">
        <f t="shared" si="35"/>
        <v>1.6666666666666667</v>
      </c>
      <c r="J51" s="37">
        <f t="shared" si="32"/>
        <v>2</v>
      </c>
      <c r="K51" s="38">
        <f t="shared" si="36"/>
        <v>1.75</v>
      </c>
      <c r="L51" s="39"/>
      <c r="M51" s="44"/>
    </row>
    <row r="52" spans="1:13" ht="18.75" customHeight="1" x14ac:dyDescent="0.3">
      <c r="A52" s="28">
        <f t="shared" si="18"/>
        <v>42</v>
      </c>
      <c r="B52" s="101" t="s">
        <v>230</v>
      </c>
      <c r="C52" s="45">
        <v>0.8</v>
      </c>
      <c r="D52" s="31">
        <f t="shared" si="29"/>
        <v>48</v>
      </c>
      <c r="E52" s="32">
        <f t="shared" si="34"/>
        <v>75</v>
      </c>
      <c r="F52" s="33">
        <f t="shared" si="12"/>
        <v>100</v>
      </c>
      <c r="G52" s="46" t="s">
        <v>32</v>
      </c>
      <c r="H52" s="46"/>
      <c r="I52" s="36">
        <f t="shared" si="35"/>
        <v>1.3333333333333333</v>
      </c>
      <c r="J52" s="37">
        <f t="shared" si="32"/>
        <v>2</v>
      </c>
      <c r="K52" s="38">
        <f t="shared" si="36"/>
        <v>1.25</v>
      </c>
      <c r="L52" s="39"/>
      <c r="M52" s="44"/>
    </row>
    <row r="53" spans="1:13" ht="18.75" customHeight="1" x14ac:dyDescent="0.3">
      <c r="A53" s="28">
        <f t="shared" si="18"/>
        <v>43</v>
      </c>
      <c r="B53" s="101" t="s">
        <v>231</v>
      </c>
      <c r="C53" s="45">
        <v>0.6</v>
      </c>
      <c r="D53" s="31">
        <f t="shared" si="29"/>
        <v>36</v>
      </c>
      <c r="E53" s="32">
        <f t="shared" si="34"/>
        <v>100</v>
      </c>
      <c r="F53" s="33">
        <f t="shared" si="12"/>
        <v>100</v>
      </c>
      <c r="G53" s="46" t="s">
        <v>28</v>
      </c>
      <c r="H53" s="46"/>
      <c r="I53" s="36">
        <f t="shared" si="35"/>
        <v>1</v>
      </c>
      <c r="J53" s="37">
        <f t="shared" si="32"/>
        <v>1</v>
      </c>
      <c r="K53" s="38">
        <f t="shared" si="36"/>
        <v>1</v>
      </c>
      <c r="L53" s="39"/>
      <c r="M53" s="44"/>
    </row>
    <row r="54" spans="1:13" ht="18.75" customHeight="1" x14ac:dyDescent="0.3">
      <c r="A54" s="28">
        <f t="shared" si="18"/>
        <v>44</v>
      </c>
      <c r="B54" s="101" t="s">
        <v>232</v>
      </c>
      <c r="C54" s="45">
        <v>0.8</v>
      </c>
      <c r="D54" s="31">
        <f t="shared" si="29"/>
        <v>48</v>
      </c>
      <c r="E54" s="32">
        <f t="shared" si="34"/>
        <v>75</v>
      </c>
      <c r="F54" s="33">
        <f t="shared" si="12"/>
        <v>100</v>
      </c>
      <c r="G54" s="46" t="s">
        <v>200</v>
      </c>
      <c r="H54" s="46"/>
      <c r="I54" s="36">
        <f t="shared" si="35"/>
        <v>1.3333333333333333</v>
      </c>
      <c r="J54" s="37">
        <f t="shared" si="32"/>
        <v>2</v>
      </c>
      <c r="K54" s="38">
        <f t="shared" si="36"/>
        <v>1.25</v>
      </c>
      <c r="L54" s="39"/>
      <c r="M54" s="44"/>
    </row>
    <row r="55" spans="1:13" ht="18.75" customHeight="1" x14ac:dyDescent="0.3">
      <c r="A55" s="28">
        <f t="shared" si="18"/>
        <v>45</v>
      </c>
      <c r="B55" s="101"/>
      <c r="C55" s="45"/>
      <c r="D55" s="31">
        <f t="shared" si="29"/>
        <v>0</v>
      </c>
      <c r="E55" s="32" t="str">
        <f t="shared" si="34"/>
        <v/>
      </c>
      <c r="F55" s="33">
        <f t="shared" si="12"/>
        <v>100</v>
      </c>
      <c r="G55" s="46"/>
      <c r="H55" s="46"/>
      <c r="I55" s="36" t="str">
        <f t="shared" si="35"/>
        <v/>
      </c>
      <c r="J55" s="37" t="str">
        <f t="shared" si="32"/>
        <v/>
      </c>
      <c r="K55" s="38" t="str">
        <f t="shared" si="36"/>
        <v/>
      </c>
      <c r="L55" s="39"/>
      <c r="M55" s="44"/>
    </row>
    <row r="56" spans="1:13" ht="18.75" customHeight="1" thickBot="1" x14ac:dyDescent="0.35">
      <c r="A56" s="28">
        <f t="shared" si="18"/>
        <v>46</v>
      </c>
      <c r="B56" s="48"/>
      <c r="C56" s="45"/>
      <c r="D56" s="31">
        <f t="shared" si="13"/>
        <v>0</v>
      </c>
      <c r="E56" s="32" t="str">
        <f t="shared" si="14"/>
        <v/>
      </c>
      <c r="F56" s="33">
        <f t="shared" si="12"/>
        <v>100</v>
      </c>
      <c r="G56" s="46"/>
      <c r="H56" s="46"/>
      <c r="I56" s="36" t="str">
        <f t="shared" si="15"/>
        <v/>
      </c>
      <c r="J56" s="37" t="str">
        <f t="shared" si="16"/>
        <v/>
      </c>
      <c r="K56" s="38" t="str">
        <f t="shared" si="17"/>
        <v/>
      </c>
      <c r="L56" s="39"/>
      <c r="M56" s="44"/>
    </row>
    <row r="57" spans="1:13" ht="18.75" customHeight="1" thickBot="1" x14ac:dyDescent="0.35">
      <c r="A57" s="122" t="s">
        <v>89</v>
      </c>
      <c r="B57" s="123"/>
      <c r="C57" s="26">
        <f>SUM(C18:C56)</f>
        <v>17.149999999999999</v>
      </c>
      <c r="D57" s="27"/>
      <c r="E57" s="27"/>
      <c r="F57" s="27"/>
      <c r="G57" s="27"/>
      <c r="H57" s="27"/>
      <c r="I57" s="26">
        <f>SUM(I18:I56)</f>
        <v>28.583333333333332</v>
      </c>
      <c r="J57" s="26">
        <f>SUM(J18:J56)</f>
        <v>43</v>
      </c>
      <c r="K57" s="26">
        <f>SUM(K18:K56)</f>
        <v>28.75</v>
      </c>
      <c r="L57" s="26">
        <f ca="1">SUM(L19:L81)</f>
        <v>0</v>
      </c>
      <c r="M57" s="26"/>
    </row>
    <row r="58" spans="1:13" ht="18.75" customHeight="1" x14ac:dyDescent="0.3">
      <c r="A58" s="28">
        <f>+A56+1</f>
        <v>47</v>
      </c>
      <c r="B58" s="48"/>
      <c r="C58" s="45"/>
      <c r="D58" s="31">
        <f t="shared" ref="D58:D63" si="37">60*C58</f>
        <v>0</v>
      </c>
      <c r="E58" s="32" t="str">
        <f t="shared" ref="E58:E63" si="38">IFERROR(60/C58,"")</f>
        <v/>
      </c>
      <c r="F58" s="33">
        <f t="shared" si="12"/>
        <v>100</v>
      </c>
      <c r="G58" s="46"/>
      <c r="H58" s="46"/>
      <c r="I58" s="36" t="str">
        <f t="shared" ref="I58:I63" si="39">IF(C58="","",($I$3/($I$2/60)*C58/60))</f>
        <v/>
      </c>
      <c r="J58" s="37" t="str">
        <f t="shared" ref="J58:J63" si="40">IFERROR(IF(I58&lt;(MROUND(I58,1)+0.125),(MROUND(I58,1)),(CEILING(I58,1))),"")</f>
        <v/>
      </c>
      <c r="K58" s="38" t="str">
        <f t="shared" ref="K58:K63" si="41">IFERROR(MROUND(I58,0.25),"")</f>
        <v/>
      </c>
      <c r="L58" s="39"/>
      <c r="M58" s="44"/>
    </row>
    <row r="59" spans="1:13" ht="18.75" customHeight="1" x14ac:dyDescent="0.3">
      <c r="A59" s="28">
        <f>+A58+1</f>
        <v>48</v>
      </c>
      <c r="B59" s="101" t="s">
        <v>188</v>
      </c>
      <c r="C59" s="45">
        <v>0.6</v>
      </c>
      <c r="D59" s="31">
        <f t="shared" si="37"/>
        <v>36</v>
      </c>
      <c r="E59" s="32">
        <f t="shared" si="38"/>
        <v>100</v>
      </c>
      <c r="F59" s="33">
        <f t="shared" si="12"/>
        <v>100</v>
      </c>
      <c r="G59" s="46" t="s">
        <v>30</v>
      </c>
      <c r="H59" s="46"/>
      <c r="I59" s="36">
        <f t="shared" si="39"/>
        <v>1</v>
      </c>
      <c r="J59" s="37">
        <f t="shared" si="40"/>
        <v>1</v>
      </c>
      <c r="K59" s="38">
        <f t="shared" si="41"/>
        <v>1</v>
      </c>
      <c r="L59" s="39"/>
      <c r="M59" s="44"/>
    </row>
    <row r="60" spans="1:13" ht="18.75" customHeight="1" x14ac:dyDescent="0.3">
      <c r="A60" s="28">
        <f>+A59+1</f>
        <v>49</v>
      </c>
      <c r="B60" s="101" t="s">
        <v>189</v>
      </c>
      <c r="C60" s="45">
        <v>1.2</v>
      </c>
      <c r="D60" s="31">
        <f t="shared" si="37"/>
        <v>72</v>
      </c>
      <c r="E60" s="32">
        <f t="shared" si="38"/>
        <v>50</v>
      </c>
      <c r="F60" s="33">
        <f t="shared" si="12"/>
        <v>100</v>
      </c>
      <c r="G60" s="46" t="s">
        <v>32</v>
      </c>
      <c r="H60" s="46"/>
      <c r="I60" s="36">
        <f t="shared" si="39"/>
        <v>2</v>
      </c>
      <c r="J60" s="37">
        <f t="shared" si="40"/>
        <v>2</v>
      </c>
      <c r="K60" s="38">
        <f t="shared" si="41"/>
        <v>2</v>
      </c>
      <c r="L60" s="39"/>
      <c r="M60" s="44"/>
    </row>
    <row r="61" spans="1:13" ht="18.75" customHeight="1" x14ac:dyDescent="0.3">
      <c r="A61" s="28">
        <f>+A60+1</f>
        <v>50</v>
      </c>
      <c r="B61" s="101" t="s">
        <v>233</v>
      </c>
      <c r="C61" s="45">
        <v>0.8</v>
      </c>
      <c r="D61" s="31">
        <f t="shared" si="37"/>
        <v>48</v>
      </c>
      <c r="E61" s="32">
        <f t="shared" si="38"/>
        <v>75</v>
      </c>
      <c r="F61" s="33">
        <f t="shared" si="12"/>
        <v>100</v>
      </c>
      <c r="G61" s="46" t="s">
        <v>200</v>
      </c>
      <c r="H61" s="46"/>
      <c r="I61" s="36">
        <f t="shared" si="39"/>
        <v>1.3333333333333333</v>
      </c>
      <c r="J61" s="37">
        <f t="shared" si="40"/>
        <v>2</v>
      </c>
      <c r="K61" s="38">
        <f t="shared" si="41"/>
        <v>1.25</v>
      </c>
      <c r="L61" s="39"/>
      <c r="M61" s="44"/>
    </row>
    <row r="62" spans="1:13" ht="18.75" customHeight="1" x14ac:dyDescent="0.3">
      <c r="A62" s="28">
        <f>+A61+1</f>
        <v>51</v>
      </c>
      <c r="B62" s="101" t="s">
        <v>190</v>
      </c>
      <c r="C62" s="45">
        <v>1</v>
      </c>
      <c r="D62" s="31">
        <f t="shared" si="37"/>
        <v>60</v>
      </c>
      <c r="E62" s="32">
        <f t="shared" si="38"/>
        <v>60</v>
      </c>
      <c r="F62" s="33">
        <f t="shared" si="12"/>
        <v>100</v>
      </c>
      <c r="G62" s="46" t="s">
        <v>32</v>
      </c>
      <c r="H62" s="46"/>
      <c r="I62" s="36">
        <f t="shared" si="39"/>
        <v>1.6666666666666667</v>
      </c>
      <c r="J62" s="37">
        <f t="shared" si="40"/>
        <v>2</v>
      </c>
      <c r="K62" s="38">
        <f t="shared" si="41"/>
        <v>1.75</v>
      </c>
      <c r="L62" s="39"/>
      <c r="M62" s="44"/>
    </row>
    <row r="63" spans="1:13" ht="18.75" customHeight="1" x14ac:dyDescent="0.3">
      <c r="A63" s="28">
        <f>+A62+1</f>
        <v>52</v>
      </c>
      <c r="B63" s="101" t="s">
        <v>234</v>
      </c>
      <c r="C63" s="45">
        <v>0.75</v>
      </c>
      <c r="D63" s="31">
        <f t="shared" si="37"/>
        <v>45</v>
      </c>
      <c r="E63" s="32">
        <f t="shared" si="38"/>
        <v>80</v>
      </c>
      <c r="F63" s="33">
        <f t="shared" si="12"/>
        <v>100</v>
      </c>
      <c r="G63" s="46" t="s">
        <v>200</v>
      </c>
      <c r="H63" s="46"/>
      <c r="I63" s="36">
        <f t="shared" si="39"/>
        <v>1.25</v>
      </c>
      <c r="J63" s="37">
        <f t="shared" si="40"/>
        <v>2</v>
      </c>
      <c r="K63" s="38">
        <f t="shared" si="41"/>
        <v>1.25</v>
      </c>
      <c r="L63" s="39"/>
      <c r="M63" s="44"/>
    </row>
    <row r="64" spans="1:13" ht="18.75" customHeight="1" x14ac:dyDescent="0.3">
      <c r="A64" s="28">
        <f>+A58+1</f>
        <v>48</v>
      </c>
      <c r="B64" s="48"/>
      <c r="C64" s="45"/>
      <c r="D64" s="31">
        <f t="shared" ref="D64:D88" si="42">60*C64</f>
        <v>0</v>
      </c>
      <c r="E64" s="32" t="str">
        <f t="shared" ref="E64:E89" si="43">IFERROR(60/C64,"")</f>
        <v/>
      </c>
      <c r="F64" s="33">
        <f t="shared" ref="F64:F89" si="44">+$K$3/($K$2/60)</f>
        <v>100</v>
      </c>
      <c r="G64" s="43"/>
      <c r="H64" s="46"/>
      <c r="I64" s="36" t="str">
        <f t="shared" ref="I64:I89" si="45">IF(C64="","",($I$3/($I$2/60)*C64/60))</f>
        <v/>
      </c>
      <c r="J64" s="37" t="str">
        <f t="shared" ref="J64:J88" si="46">IFERROR(IF(I64&lt;(MROUND(I64,1)+0.125),(MROUND(I64,1)),(CEILING(I64,1))),"")</f>
        <v/>
      </c>
      <c r="K64" s="38" t="str">
        <f t="shared" ref="K64" si="47">IFERROR(MROUND(I64,0.25),"")</f>
        <v/>
      </c>
      <c r="L64" s="39"/>
      <c r="M64" s="44"/>
    </row>
    <row r="65" spans="1:13" ht="18.75" customHeight="1" x14ac:dyDescent="0.3">
      <c r="A65" s="28">
        <f>+A63+1</f>
        <v>53</v>
      </c>
      <c r="B65" s="101" t="s">
        <v>235</v>
      </c>
      <c r="C65" s="45">
        <v>0.2</v>
      </c>
      <c r="D65" s="31">
        <f t="shared" ref="D65:D72" si="48">60*C65</f>
        <v>12</v>
      </c>
      <c r="E65" s="32">
        <f t="shared" ref="E65:E66" si="49">IFERROR(60/C65,"")</f>
        <v>300</v>
      </c>
      <c r="F65" s="33">
        <f t="shared" si="12"/>
        <v>100</v>
      </c>
      <c r="G65" s="46" t="s">
        <v>28</v>
      </c>
      <c r="H65" s="46"/>
      <c r="I65" s="36">
        <f t="shared" ref="I65:I66" si="50">IF(C65="","",($I$3/($I$2/60)*C65/60))</f>
        <v>0.33333333333333331</v>
      </c>
      <c r="J65" s="37">
        <f t="shared" ref="J65:J72" si="51">IFERROR(IF(I65&lt;(MROUND(I65,1)+0.125),(MROUND(I65,1)),(CEILING(I65,1))),"")</f>
        <v>1</v>
      </c>
      <c r="K65" s="38">
        <f t="shared" ref="K65:K66" si="52">IFERROR(MROUND(I65,0.25),"")</f>
        <v>0.25</v>
      </c>
      <c r="L65" s="39"/>
      <c r="M65" s="44"/>
    </row>
    <row r="66" spans="1:13" ht="18.75" customHeight="1" x14ac:dyDescent="0.3">
      <c r="A66" s="28">
        <f t="shared" ref="A66:A73" si="53">+A65+1</f>
        <v>54</v>
      </c>
      <c r="B66" s="101" t="s">
        <v>236</v>
      </c>
      <c r="C66" s="45">
        <v>0.3</v>
      </c>
      <c r="D66" s="31">
        <f t="shared" si="48"/>
        <v>18</v>
      </c>
      <c r="E66" s="32">
        <f t="shared" si="49"/>
        <v>200</v>
      </c>
      <c r="F66" s="33">
        <f t="shared" si="12"/>
        <v>100</v>
      </c>
      <c r="G66" s="46" t="s">
        <v>34</v>
      </c>
      <c r="H66" s="46"/>
      <c r="I66" s="36">
        <f t="shared" si="50"/>
        <v>0.5</v>
      </c>
      <c r="J66" s="37">
        <f t="shared" si="51"/>
        <v>1</v>
      </c>
      <c r="K66" s="38">
        <f t="shared" si="52"/>
        <v>0.5</v>
      </c>
      <c r="L66" s="39"/>
      <c r="M66" s="44"/>
    </row>
    <row r="67" spans="1:13" ht="18.75" customHeight="1" x14ac:dyDescent="0.3">
      <c r="A67" s="28">
        <f t="shared" si="53"/>
        <v>55</v>
      </c>
      <c r="B67" s="101" t="s">
        <v>237</v>
      </c>
      <c r="C67" s="45">
        <v>0.5</v>
      </c>
      <c r="D67" s="31">
        <f t="shared" si="48"/>
        <v>30</v>
      </c>
      <c r="E67" s="32">
        <f t="shared" ref="E67:E78" si="54">IFERROR(60/C67,"")</f>
        <v>120</v>
      </c>
      <c r="F67" s="33">
        <f t="shared" si="12"/>
        <v>100</v>
      </c>
      <c r="G67" s="46" t="s">
        <v>28</v>
      </c>
      <c r="H67" s="46"/>
      <c r="I67" s="36">
        <f t="shared" ref="I67:I78" si="55">IF(C67="","",($I$3/($I$2/60)*C67/60))</f>
        <v>0.83333333333333337</v>
      </c>
      <c r="J67" s="37">
        <f t="shared" si="51"/>
        <v>1</v>
      </c>
      <c r="K67" s="38">
        <f t="shared" ref="K67:K78" si="56">IFERROR(MROUND(I67,0.25),"")</f>
        <v>0.75</v>
      </c>
      <c r="L67" s="39"/>
      <c r="M67" s="44"/>
    </row>
    <row r="68" spans="1:13" ht="18.75" customHeight="1" x14ac:dyDescent="0.3">
      <c r="A68" s="28">
        <f t="shared" si="53"/>
        <v>56</v>
      </c>
      <c r="B68" s="101" t="s">
        <v>185</v>
      </c>
      <c r="C68" s="45">
        <v>0.3</v>
      </c>
      <c r="D68" s="31">
        <f t="shared" si="48"/>
        <v>18</v>
      </c>
      <c r="E68" s="32">
        <f t="shared" si="54"/>
        <v>200</v>
      </c>
      <c r="F68" s="33">
        <f t="shared" si="12"/>
        <v>100</v>
      </c>
      <c r="G68" s="46" t="s">
        <v>30</v>
      </c>
      <c r="H68" s="46"/>
      <c r="I68" s="36">
        <f t="shared" si="55"/>
        <v>0.5</v>
      </c>
      <c r="J68" s="37">
        <f t="shared" si="51"/>
        <v>1</v>
      </c>
      <c r="K68" s="38">
        <f t="shared" si="56"/>
        <v>0.5</v>
      </c>
      <c r="L68" s="39"/>
      <c r="M68" s="44"/>
    </row>
    <row r="69" spans="1:13" ht="18.75" customHeight="1" x14ac:dyDescent="0.3">
      <c r="A69" s="28">
        <f t="shared" si="53"/>
        <v>57</v>
      </c>
      <c r="B69" s="101" t="s">
        <v>238</v>
      </c>
      <c r="C69" s="45">
        <v>0.25</v>
      </c>
      <c r="D69" s="31">
        <f t="shared" si="48"/>
        <v>15</v>
      </c>
      <c r="E69" s="32">
        <f t="shared" si="54"/>
        <v>240</v>
      </c>
      <c r="F69" s="33">
        <f t="shared" si="12"/>
        <v>100</v>
      </c>
      <c r="G69" s="46" t="s">
        <v>28</v>
      </c>
      <c r="H69" s="46"/>
      <c r="I69" s="36">
        <f t="shared" si="55"/>
        <v>0.41666666666666669</v>
      </c>
      <c r="J69" s="37">
        <f t="shared" si="51"/>
        <v>1</v>
      </c>
      <c r="K69" s="38">
        <f t="shared" si="56"/>
        <v>0.5</v>
      </c>
      <c r="L69" s="39"/>
      <c r="M69" s="44"/>
    </row>
    <row r="70" spans="1:13" ht="18.75" customHeight="1" x14ac:dyDescent="0.3">
      <c r="A70" s="28">
        <f t="shared" si="53"/>
        <v>58</v>
      </c>
      <c r="B70" s="101" t="s">
        <v>239</v>
      </c>
      <c r="C70" s="45">
        <v>0.6</v>
      </c>
      <c r="D70" s="31">
        <f t="shared" si="48"/>
        <v>36</v>
      </c>
      <c r="E70" s="32">
        <f t="shared" si="54"/>
        <v>100</v>
      </c>
      <c r="F70" s="33">
        <f t="shared" si="12"/>
        <v>100</v>
      </c>
      <c r="G70" s="46" t="s">
        <v>240</v>
      </c>
      <c r="H70" s="46"/>
      <c r="I70" s="36">
        <f t="shared" si="55"/>
        <v>1</v>
      </c>
      <c r="J70" s="37">
        <f t="shared" si="51"/>
        <v>1</v>
      </c>
      <c r="K70" s="38">
        <f t="shared" si="56"/>
        <v>1</v>
      </c>
      <c r="L70" s="39"/>
      <c r="M70" s="44"/>
    </row>
    <row r="71" spans="1:13" ht="18.75" customHeight="1" x14ac:dyDescent="0.3">
      <c r="A71" s="28">
        <f t="shared" si="53"/>
        <v>59</v>
      </c>
      <c r="B71" s="101" t="s">
        <v>186</v>
      </c>
      <c r="C71" s="45">
        <v>0.35</v>
      </c>
      <c r="D71" s="31">
        <f t="shared" si="48"/>
        <v>21</v>
      </c>
      <c r="E71" s="32">
        <f t="shared" si="54"/>
        <v>171.42857142857144</v>
      </c>
      <c r="F71" s="33">
        <f t="shared" si="12"/>
        <v>100</v>
      </c>
      <c r="G71" s="46" t="s">
        <v>187</v>
      </c>
      <c r="H71" s="46"/>
      <c r="I71" s="36">
        <f t="shared" si="55"/>
        <v>0.58333333333333337</v>
      </c>
      <c r="J71" s="37">
        <f t="shared" si="51"/>
        <v>1</v>
      </c>
      <c r="K71" s="38">
        <f t="shared" si="56"/>
        <v>0.5</v>
      </c>
      <c r="L71" s="39"/>
      <c r="M71" s="44"/>
    </row>
    <row r="72" spans="1:13" ht="18.75" customHeight="1" x14ac:dyDescent="0.3">
      <c r="A72" s="28">
        <f t="shared" si="53"/>
        <v>60</v>
      </c>
      <c r="B72" s="101" t="s">
        <v>192</v>
      </c>
      <c r="C72" s="45">
        <v>0.65</v>
      </c>
      <c r="D72" s="31">
        <f t="shared" si="48"/>
        <v>39</v>
      </c>
      <c r="E72" s="32">
        <f t="shared" si="54"/>
        <v>92.307692307692307</v>
      </c>
      <c r="F72" s="33">
        <f t="shared" si="12"/>
        <v>100</v>
      </c>
      <c r="G72" s="46" t="s">
        <v>241</v>
      </c>
      <c r="H72" s="46"/>
      <c r="I72" s="36">
        <f t="shared" si="55"/>
        <v>1.0833333333333333</v>
      </c>
      <c r="J72" s="37">
        <f t="shared" si="51"/>
        <v>1</v>
      </c>
      <c r="K72" s="38">
        <f t="shared" si="56"/>
        <v>1</v>
      </c>
      <c r="L72" s="39"/>
      <c r="M72" s="44"/>
    </row>
    <row r="73" spans="1:13" ht="18.75" customHeight="1" x14ac:dyDescent="0.3">
      <c r="A73" s="28">
        <f t="shared" si="53"/>
        <v>61</v>
      </c>
      <c r="B73" s="101" t="s">
        <v>242</v>
      </c>
      <c r="C73" s="45">
        <v>0.6</v>
      </c>
      <c r="D73" s="31">
        <f t="shared" ref="D73" si="57">60*C73</f>
        <v>36</v>
      </c>
      <c r="E73" s="32">
        <f t="shared" ref="E73" si="58">IFERROR(60/C73,"")</f>
        <v>100</v>
      </c>
      <c r="F73" s="33">
        <f t="shared" si="12"/>
        <v>100</v>
      </c>
      <c r="G73" s="46" t="s">
        <v>30</v>
      </c>
      <c r="H73" s="46"/>
      <c r="I73" s="36">
        <f t="shared" ref="I73" si="59">IF(C73="","",($I$3/($I$2/60)*C73/60))</f>
        <v>1</v>
      </c>
      <c r="J73" s="37">
        <f t="shared" ref="J73" si="60">IFERROR(IF(I73&lt;(MROUND(I73,1)+0.125),(MROUND(I73,1)),(CEILING(I73,1))),"")</f>
        <v>1</v>
      </c>
      <c r="K73" s="38">
        <f t="shared" ref="K73" si="61">IFERROR(MROUND(I73,0.25),"")</f>
        <v>1</v>
      </c>
      <c r="L73" s="39"/>
      <c r="M73" s="44"/>
    </row>
    <row r="74" spans="1:13" ht="18.75" customHeight="1" x14ac:dyDescent="0.3">
      <c r="A74" s="28">
        <f>+A72+1</f>
        <v>61</v>
      </c>
      <c r="B74" s="101" t="s">
        <v>243</v>
      </c>
      <c r="C74" s="45">
        <v>0.65</v>
      </c>
      <c r="D74" s="31">
        <f t="shared" ref="D74:D81" si="62">60*C74</f>
        <v>39</v>
      </c>
      <c r="E74" s="32">
        <f t="shared" si="54"/>
        <v>92.307692307692307</v>
      </c>
      <c r="F74" s="33">
        <f t="shared" si="12"/>
        <v>100</v>
      </c>
      <c r="G74" s="46" t="s">
        <v>61</v>
      </c>
      <c r="H74" s="46"/>
      <c r="I74" s="36">
        <f t="shared" si="55"/>
        <v>1.0833333333333333</v>
      </c>
      <c r="J74" s="37">
        <f t="shared" ref="J74:J81" si="63">IFERROR(IF(I74&lt;(MROUND(I74,1)+0.125),(MROUND(I74,1)),(CEILING(I74,1))),"")</f>
        <v>1</v>
      </c>
      <c r="K74" s="38">
        <f t="shared" si="56"/>
        <v>1</v>
      </c>
      <c r="L74" s="39"/>
      <c r="M74" s="44"/>
    </row>
    <row r="75" spans="1:13" ht="18.75" customHeight="1" x14ac:dyDescent="0.3">
      <c r="A75" s="28">
        <f>+A74+1</f>
        <v>62</v>
      </c>
      <c r="B75" s="101" t="s">
        <v>191</v>
      </c>
      <c r="C75" s="45">
        <v>0.9</v>
      </c>
      <c r="D75" s="31">
        <f t="shared" si="62"/>
        <v>54</v>
      </c>
      <c r="E75" s="32">
        <f t="shared" si="54"/>
        <v>66.666666666666671</v>
      </c>
      <c r="F75" s="33">
        <f t="shared" si="12"/>
        <v>100</v>
      </c>
      <c r="G75" s="46" t="s">
        <v>30</v>
      </c>
      <c r="H75" s="46"/>
      <c r="I75" s="36">
        <f t="shared" si="55"/>
        <v>1.5</v>
      </c>
      <c r="J75" s="37">
        <f t="shared" si="63"/>
        <v>2</v>
      </c>
      <c r="K75" s="38">
        <f t="shared" si="56"/>
        <v>1.5</v>
      </c>
      <c r="L75" s="39"/>
      <c r="M75" s="44"/>
    </row>
    <row r="76" spans="1:13" ht="18.75" customHeight="1" x14ac:dyDescent="0.3">
      <c r="A76" s="28">
        <f>+A75+1</f>
        <v>63</v>
      </c>
      <c r="B76" s="101" t="s">
        <v>244</v>
      </c>
      <c r="C76" s="45">
        <v>0.8</v>
      </c>
      <c r="D76" s="31">
        <f t="shared" si="62"/>
        <v>48</v>
      </c>
      <c r="E76" s="32">
        <f t="shared" si="54"/>
        <v>75</v>
      </c>
      <c r="F76" s="33">
        <f t="shared" si="12"/>
        <v>100</v>
      </c>
      <c r="G76" s="46" t="s">
        <v>72</v>
      </c>
      <c r="H76" s="46"/>
      <c r="I76" s="36">
        <f t="shared" si="55"/>
        <v>1.3333333333333333</v>
      </c>
      <c r="J76" s="37">
        <f t="shared" si="63"/>
        <v>2</v>
      </c>
      <c r="K76" s="38">
        <f t="shared" si="56"/>
        <v>1.25</v>
      </c>
      <c r="L76" s="39"/>
      <c r="M76" s="44"/>
    </row>
    <row r="77" spans="1:13" ht="18.75" customHeight="1" x14ac:dyDescent="0.3">
      <c r="A77" s="28">
        <f>+A76+1</f>
        <v>64</v>
      </c>
      <c r="B77" s="101" t="s">
        <v>193</v>
      </c>
      <c r="C77" s="45">
        <v>0.9</v>
      </c>
      <c r="D77" s="31">
        <f t="shared" si="62"/>
        <v>54</v>
      </c>
      <c r="E77" s="32">
        <f t="shared" si="54"/>
        <v>66.666666666666671</v>
      </c>
      <c r="F77" s="33">
        <f t="shared" si="12"/>
        <v>100</v>
      </c>
      <c r="G77" s="46" t="s">
        <v>240</v>
      </c>
      <c r="H77" s="46"/>
      <c r="I77" s="36">
        <f t="shared" si="55"/>
        <v>1.5</v>
      </c>
      <c r="J77" s="37">
        <f t="shared" si="63"/>
        <v>2</v>
      </c>
      <c r="K77" s="38">
        <f t="shared" si="56"/>
        <v>1.5</v>
      </c>
      <c r="L77" s="39"/>
      <c r="M77" s="44"/>
    </row>
    <row r="78" spans="1:13" ht="18.75" customHeight="1" x14ac:dyDescent="0.3">
      <c r="A78" s="28">
        <f>+A77+1</f>
        <v>65</v>
      </c>
      <c r="B78" s="101" t="s">
        <v>245</v>
      </c>
      <c r="C78" s="45">
        <v>0.6</v>
      </c>
      <c r="D78" s="31">
        <f t="shared" si="62"/>
        <v>36</v>
      </c>
      <c r="E78" s="32">
        <f t="shared" si="54"/>
        <v>100</v>
      </c>
      <c r="F78" s="33">
        <f t="shared" si="12"/>
        <v>100</v>
      </c>
      <c r="G78" s="46" t="s">
        <v>246</v>
      </c>
      <c r="H78" s="46"/>
      <c r="I78" s="36">
        <f t="shared" si="55"/>
        <v>1</v>
      </c>
      <c r="J78" s="37">
        <f t="shared" si="63"/>
        <v>1</v>
      </c>
      <c r="K78" s="38">
        <f t="shared" si="56"/>
        <v>1</v>
      </c>
      <c r="L78" s="39"/>
      <c r="M78" s="44"/>
    </row>
    <row r="79" spans="1:13" ht="18.75" customHeight="1" x14ac:dyDescent="0.3">
      <c r="A79" s="28">
        <f t="shared" ref="A79:A89" si="64">+A78+1</f>
        <v>66</v>
      </c>
      <c r="B79" s="48" t="s">
        <v>195</v>
      </c>
      <c r="C79" s="45">
        <v>0.5</v>
      </c>
      <c r="D79" s="31">
        <f t="shared" si="62"/>
        <v>30</v>
      </c>
      <c r="E79" s="32">
        <f>IFERROR(60/C79,"")</f>
        <v>120</v>
      </c>
      <c r="F79" s="33">
        <f t="shared" ref="F79:F80" si="65">+$K$3/($K$2/60)</f>
        <v>100</v>
      </c>
      <c r="G79" s="46" t="s">
        <v>33</v>
      </c>
      <c r="H79" s="46"/>
      <c r="I79" s="36">
        <f>IF(C79="","",($I$3/($I$2/60)*C79/60))</f>
        <v>0.83333333333333337</v>
      </c>
      <c r="J79" s="37">
        <f t="shared" si="63"/>
        <v>1</v>
      </c>
      <c r="K79" s="38">
        <f>IFERROR(MROUND(I79,0.25),"")</f>
        <v>0.75</v>
      </c>
      <c r="L79" s="39"/>
      <c r="M79" s="44"/>
    </row>
    <row r="80" spans="1:13" ht="18.75" customHeight="1" x14ac:dyDescent="0.3">
      <c r="A80" s="28">
        <f t="shared" si="64"/>
        <v>67</v>
      </c>
      <c r="B80" s="48" t="s">
        <v>254</v>
      </c>
      <c r="C80" s="45">
        <v>0.6</v>
      </c>
      <c r="D80" s="31">
        <f t="shared" si="62"/>
        <v>36</v>
      </c>
      <c r="E80" s="32">
        <f>IFERROR(60/C80,"")</f>
        <v>100</v>
      </c>
      <c r="F80" s="33">
        <f t="shared" si="65"/>
        <v>100</v>
      </c>
      <c r="G80" s="46" t="s">
        <v>35</v>
      </c>
      <c r="H80" s="46"/>
      <c r="I80" s="36">
        <f>IF(C80="","",($I$3/($I$2/60)*C80/60))</f>
        <v>1</v>
      </c>
      <c r="J80" s="37">
        <f t="shared" si="63"/>
        <v>1</v>
      </c>
      <c r="K80" s="38">
        <f>IFERROR(MROUND(I80,0.25),"")</f>
        <v>1</v>
      </c>
      <c r="L80" s="39"/>
      <c r="M80" s="44"/>
    </row>
    <row r="81" spans="1:13" ht="18.75" customHeight="1" x14ac:dyDescent="0.3">
      <c r="A81" s="28">
        <f t="shared" si="64"/>
        <v>68</v>
      </c>
      <c r="B81" s="102" t="s">
        <v>247</v>
      </c>
      <c r="C81" s="45">
        <v>0.5</v>
      </c>
      <c r="D81" s="31">
        <f t="shared" si="62"/>
        <v>30</v>
      </c>
      <c r="E81" s="32">
        <f>IFERROR(60/C81,"")</f>
        <v>120</v>
      </c>
      <c r="F81" s="33">
        <f t="shared" si="12"/>
        <v>100</v>
      </c>
      <c r="G81" s="46" t="s">
        <v>72</v>
      </c>
      <c r="H81" s="46"/>
      <c r="I81" s="36">
        <f>IF(C81="","",($I$3/($I$2/60)*C81/60))</f>
        <v>0.83333333333333337</v>
      </c>
      <c r="J81" s="37">
        <f t="shared" si="63"/>
        <v>1</v>
      </c>
      <c r="K81" s="38">
        <f>IFERROR(MROUND(I81,0.25),"")</f>
        <v>0.75</v>
      </c>
      <c r="L81" s="39"/>
      <c r="M81" s="44"/>
    </row>
    <row r="82" spans="1:13" ht="18.75" customHeight="1" x14ac:dyDescent="0.3">
      <c r="A82" s="28">
        <f t="shared" si="64"/>
        <v>69</v>
      </c>
      <c r="B82" s="106" t="s">
        <v>248</v>
      </c>
      <c r="C82" s="45">
        <v>0.4</v>
      </c>
      <c r="D82" s="31">
        <f t="shared" si="42"/>
        <v>24</v>
      </c>
      <c r="E82" s="32">
        <f t="shared" si="43"/>
        <v>150</v>
      </c>
      <c r="F82" s="33">
        <f t="shared" si="44"/>
        <v>100</v>
      </c>
      <c r="G82" s="46" t="s">
        <v>28</v>
      </c>
      <c r="H82" s="46"/>
      <c r="I82" s="36">
        <f t="shared" si="45"/>
        <v>0.66666666666666663</v>
      </c>
      <c r="J82" s="37">
        <f t="shared" si="46"/>
        <v>1</v>
      </c>
      <c r="K82" s="38">
        <f t="shared" ref="K82:K88" si="66">IFERROR(MROUND(I82,0.25),"")</f>
        <v>0.75</v>
      </c>
      <c r="L82" s="39"/>
      <c r="M82" s="44"/>
    </row>
    <row r="83" spans="1:13" ht="18.75" customHeight="1" x14ac:dyDescent="0.3">
      <c r="A83" s="28">
        <f t="shared" si="64"/>
        <v>70</v>
      </c>
      <c r="B83" s="48" t="s">
        <v>249</v>
      </c>
      <c r="C83" s="45">
        <v>0.6</v>
      </c>
      <c r="D83" s="31">
        <f>60*C83</f>
        <v>36</v>
      </c>
      <c r="E83" s="32">
        <f>IFERROR(60/C83,"")</f>
        <v>100</v>
      </c>
      <c r="F83" s="33">
        <f t="shared" si="44"/>
        <v>100</v>
      </c>
      <c r="G83" s="46" t="s">
        <v>34</v>
      </c>
      <c r="H83" s="46"/>
      <c r="I83" s="36">
        <f>IF(C83="","",($I$3/($I$2/60)*C83/60))</f>
        <v>1</v>
      </c>
      <c r="J83" s="37">
        <f>IFERROR(IF(I83&lt;(MROUND(I83,1)+0.125),(MROUND(I83,1)),(CEILING(I83,1))),"")</f>
        <v>1</v>
      </c>
      <c r="K83" s="38">
        <f>IFERROR(MROUND(I83,0.25),"")</f>
        <v>1</v>
      </c>
      <c r="L83" s="39"/>
      <c r="M83" s="44"/>
    </row>
    <row r="84" spans="1:13" ht="18.75" customHeight="1" x14ac:dyDescent="0.3">
      <c r="A84" s="28">
        <f t="shared" si="64"/>
        <v>71</v>
      </c>
      <c r="B84" s="48" t="s">
        <v>250</v>
      </c>
      <c r="C84" s="45">
        <v>0.15</v>
      </c>
      <c r="D84" s="31">
        <f t="shared" si="42"/>
        <v>9</v>
      </c>
      <c r="E84" s="32">
        <f t="shared" ref="E84:E88" si="67">IFERROR(60/C84,"")</f>
        <v>400</v>
      </c>
      <c r="F84" s="33">
        <f t="shared" si="44"/>
        <v>100</v>
      </c>
      <c r="G84" s="46" t="s">
        <v>33</v>
      </c>
      <c r="H84" s="46"/>
      <c r="I84" s="36">
        <f t="shared" ref="I84:I88" si="68">IF(C84="","",($I$3/($I$2/60)*C84/60))</f>
        <v>0.25</v>
      </c>
      <c r="J84" s="37">
        <f t="shared" si="46"/>
        <v>1</v>
      </c>
      <c r="K84" s="38">
        <f t="shared" si="66"/>
        <v>0.25</v>
      </c>
      <c r="L84" s="39"/>
      <c r="M84" s="44"/>
    </row>
    <row r="85" spans="1:13" ht="18.75" customHeight="1" x14ac:dyDescent="0.3">
      <c r="A85" s="28">
        <f t="shared" si="64"/>
        <v>72</v>
      </c>
      <c r="B85" s="48" t="s">
        <v>194</v>
      </c>
      <c r="C85" s="45">
        <v>0.95</v>
      </c>
      <c r="D85" s="31">
        <f>60*C85</f>
        <v>57</v>
      </c>
      <c r="E85" s="32">
        <f>IFERROR(60/C85,"")</f>
        <v>63.15789473684211</v>
      </c>
      <c r="F85" s="33">
        <f t="shared" si="44"/>
        <v>100</v>
      </c>
      <c r="G85" s="46" t="s">
        <v>29</v>
      </c>
      <c r="H85" s="46"/>
      <c r="I85" s="36">
        <f>IF(C85="","",($I$3/($I$2/60)*C85/60))</f>
        <v>1.5833333333333333</v>
      </c>
      <c r="J85" s="37">
        <f>IFERROR(IF(I85&lt;(MROUND(I85,1)+0.125),(MROUND(I85,1)),(CEILING(I85,1))),"")</f>
        <v>2</v>
      </c>
      <c r="K85" s="38">
        <f>IFERROR(MROUND(I85,0.25),"")</f>
        <v>1.5</v>
      </c>
      <c r="L85" s="39"/>
      <c r="M85" s="44"/>
    </row>
    <row r="86" spans="1:13" ht="18.75" customHeight="1" x14ac:dyDescent="0.3">
      <c r="A86" s="28">
        <f t="shared" si="64"/>
        <v>73</v>
      </c>
      <c r="B86" s="48" t="s">
        <v>251</v>
      </c>
      <c r="C86" s="45">
        <v>0.6</v>
      </c>
      <c r="D86" s="31">
        <f t="shared" si="42"/>
        <v>36</v>
      </c>
      <c r="E86" s="32">
        <f>IFERROR(60/C86,"")</f>
        <v>100</v>
      </c>
      <c r="F86" s="33">
        <f t="shared" si="44"/>
        <v>100</v>
      </c>
      <c r="G86" s="46" t="s">
        <v>33</v>
      </c>
      <c r="H86" s="46"/>
      <c r="I86" s="36">
        <f>IF(C86="","",($I$3/($I$2/60)*C86/60))</f>
        <v>1</v>
      </c>
      <c r="J86" s="37">
        <f t="shared" si="46"/>
        <v>1</v>
      </c>
      <c r="K86" s="38">
        <f t="shared" si="66"/>
        <v>1</v>
      </c>
      <c r="L86" s="39"/>
      <c r="M86" s="44"/>
    </row>
    <row r="87" spans="1:13" ht="18.75" customHeight="1" x14ac:dyDescent="0.3">
      <c r="A87" s="28">
        <f t="shared" si="64"/>
        <v>74</v>
      </c>
      <c r="B87" s="48" t="s">
        <v>252</v>
      </c>
      <c r="C87" s="45">
        <v>0.45</v>
      </c>
      <c r="D87" s="31">
        <f t="shared" si="42"/>
        <v>27</v>
      </c>
      <c r="E87" s="32">
        <f t="shared" si="67"/>
        <v>133.33333333333334</v>
      </c>
      <c r="F87" s="33">
        <f t="shared" si="44"/>
        <v>100</v>
      </c>
      <c r="G87" s="46" t="s">
        <v>30</v>
      </c>
      <c r="H87" s="46"/>
      <c r="I87" s="36">
        <f t="shared" si="68"/>
        <v>0.75</v>
      </c>
      <c r="J87" s="37">
        <f t="shared" si="46"/>
        <v>1</v>
      </c>
      <c r="K87" s="38">
        <f t="shared" si="66"/>
        <v>0.75</v>
      </c>
      <c r="L87" s="39"/>
      <c r="M87" s="44"/>
    </row>
    <row r="88" spans="1:13" ht="18.75" customHeight="1" x14ac:dyDescent="0.3">
      <c r="A88" s="28">
        <f t="shared" si="64"/>
        <v>75</v>
      </c>
      <c r="B88" s="48" t="s">
        <v>253</v>
      </c>
      <c r="C88" s="45">
        <v>0.45</v>
      </c>
      <c r="D88" s="31">
        <f t="shared" si="42"/>
        <v>27</v>
      </c>
      <c r="E88" s="32">
        <f t="shared" si="67"/>
        <v>133.33333333333334</v>
      </c>
      <c r="F88" s="33">
        <f t="shared" si="44"/>
        <v>100</v>
      </c>
      <c r="G88" s="46" t="s">
        <v>30</v>
      </c>
      <c r="H88" s="46"/>
      <c r="I88" s="36">
        <f t="shared" si="68"/>
        <v>0.75</v>
      </c>
      <c r="J88" s="37">
        <f t="shared" si="46"/>
        <v>1</v>
      </c>
      <c r="K88" s="38">
        <f t="shared" si="66"/>
        <v>0.75</v>
      </c>
      <c r="L88" s="39"/>
      <c r="M88" s="44"/>
    </row>
    <row r="89" spans="1:13" ht="18.75" customHeight="1" thickBot="1" x14ac:dyDescent="0.35">
      <c r="A89" s="28">
        <f t="shared" si="64"/>
        <v>76</v>
      </c>
      <c r="B89" s="40"/>
      <c r="C89" s="41"/>
      <c r="D89" s="42">
        <f t="shared" ref="D89" si="69">+C89*60</f>
        <v>0</v>
      </c>
      <c r="E89" s="32" t="str">
        <f t="shared" si="43"/>
        <v/>
      </c>
      <c r="F89" s="33">
        <f t="shared" si="44"/>
        <v>100</v>
      </c>
      <c r="G89" s="34"/>
      <c r="H89" s="35"/>
      <c r="I89" s="36" t="str">
        <f t="shared" si="45"/>
        <v/>
      </c>
      <c r="J89" s="37" t="str">
        <f t="shared" ref="J89" si="70">IFERROR(IF(I89&lt;(MROUND(I89,1)+0.125),(MROUND(I89,1)),(CEILING(I89,1))),"")</f>
        <v/>
      </c>
      <c r="K89" s="38" t="str">
        <f t="shared" ref="K89" si="71">IFERROR(MROUND(I89,0.25),"")</f>
        <v/>
      </c>
      <c r="M89" s="49"/>
    </row>
    <row r="90" spans="1:13" ht="18.75" customHeight="1" thickBot="1" x14ac:dyDescent="0.35">
      <c r="A90" s="122"/>
      <c r="B90" s="123"/>
      <c r="C90" s="26">
        <f>+SUM(C58:C89)</f>
        <v>17.149999999999999</v>
      </c>
      <c r="D90" s="26"/>
      <c r="E90" s="26"/>
      <c r="F90" s="26"/>
      <c r="G90" s="27"/>
      <c r="H90" s="27"/>
      <c r="I90" s="26">
        <f>+SUM(I58:I89)</f>
        <v>28.583333333333332</v>
      </c>
      <c r="J90" s="26">
        <f>+SUM(J58:J89)</f>
        <v>37</v>
      </c>
      <c r="K90" s="26">
        <f>+SUM(K58:K89)</f>
        <v>28</v>
      </c>
      <c r="L90" s="26">
        <f>+SUM(L64:L89)</f>
        <v>0</v>
      </c>
      <c r="M90" s="47"/>
    </row>
    <row r="91" spans="1:13" ht="18.75" customHeight="1" thickBot="1" x14ac:dyDescent="0.35">
      <c r="A91" s="108" t="s">
        <v>255</v>
      </c>
      <c r="B91" s="108" t="s">
        <v>255</v>
      </c>
      <c r="C91" s="108" t="s">
        <v>255</v>
      </c>
      <c r="D91" s="110"/>
      <c r="E91" s="110"/>
      <c r="F91" s="111"/>
      <c r="G91" s="111" t="s">
        <v>255</v>
      </c>
      <c r="H91" s="112"/>
      <c r="I91" s="109"/>
      <c r="J91" s="51" t="s">
        <v>255</v>
      </c>
      <c r="K91" s="51"/>
      <c r="L91" s="51"/>
      <c r="M91" s="54"/>
    </row>
    <row r="92" spans="1:13" ht="18.75" customHeight="1" thickBot="1" x14ac:dyDescent="0.35">
      <c r="A92" s="50"/>
      <c r="B92" s="50" t="s">
        <v>37</v>
      </c>
      <c r="C92" s="51">
        <f>C17+C57+C90</f>
        <v>38.25</v>
      </c>
      <c r="D92" s="52"/>
      <c r="E92" s="52"/>
      <c r="F92" s="53"/>
      <c r="G92" s="53"/>
      <c r="H92" s="50"/>
      <c r="I92" s="51">
        <f>I17+I57+I90</f>
        <v>63.75</v>
      </c>
      <c r="J92" s="51">
        <f>J17+J57+J90</f>
        <v>88</v>
      </c>
      <c r="K92" s="51">
        <f>K17+K57+K90</f>
        <v>63.25</v>
      </c>
      <c r="L92" s="51">
        <f ca="1">L17+L57+L90</f>
        <v>0</v>
      </c>
      <c r="M92" s="54"/>
    </row>
    <row r="93" spans="1:13" ht="18.75" customHeight="1" x14ac:dyDescent="0.3">
      <c r="A93" s="28">
        <f>+A89+1</f>
        <v>77</v>
      </c>
      <c r="B93" s="29" t="s">
        <v>38</v>
      </c>
      <c r="C93" s="30"/>
      <c r="D93" s="42">
        <f>C93*60</f>
        <v>0</v>
      </c>
      <c r="E93" s="32" t="str">
        <f t="shared" ref="E93:E100" si="72">IFERROR(60/C93,"")</f>
        <v/>
      </c>
      <c r="F93" s="33">
        <f t="shared" ref="F93:F100" si="73">+$K$3/($K$2/60)</f>
        <v>100</v>
      </c>
      <c r="G93" s="34" t="s">
        <v>33</v>
      </c>
      <c r="H93" s="35"/>
      <c r="I93" s="36" t="str">
        <f t="shared" ref="I93:I100" si="74">IF(C93="","",($I$3/($I$2/60)*C93/60))</f>
        <v/>
      </c>
      <c r="J93" s="37" t="str">
        <f t="shared" ref="J93:J100" si="75">IFERROR(IF(I93&lt;(MROUND(I93,1)+0.125),(MROUND(I93,1)),(CEILING(I93,1))),"")</f>
        <v/>
      </c>
      <c r="K93" s="38" t="str">
        <f t="shared" ref="K93:K100" si="76">IFERROR(MROUND(I93,0.25),"")</f>
        <v/>
      </c>
      <c r="L93" s="38">
        <f>MROUND(F93/60,0.5)</f>
        <v>1.5</v>
      </c>
      <c r="M93" s="44"/>
    </row>
    <row r="94" spans="1:13" ht="18.75" customHeight="1" x14ac:dyDescent="0.3">
      <c r="A94" s="28">
        <f>+A93+1</f>
        <v>78</v>
      </c>
      <c r="B94" s="40" t="s">
        <v>39</v>
      </c>
      <c r="C94" s="41">
        <v>1</v>
      </c>
      <c r="D94" s="42">
        <f>+C94*60</f>
        <v>60</v>
      </c>
      <c r="E94" s="32">
        <f t="shared" si="72"/>
        <v>60</v>
      </c>
      <c r="F94" s="33">
        <f t="shared" si="73"/>
        <v>100</v>
      </c>
      <c r="G94" s="55" t="s">
        <v>28</v>
      </c>
      <c r="H94" s="56"/>
      <c r="I94" s="36">
        <f t="shared" si="74"/>
        <v>1.6666666666666667</v>
      </c>
      <c r="J94" s="37">
        <f t="shared" si="75"/>
        <v>2</v>
      </c>
      <c r="K94" s="38">
        <f t="shared" si="76"/>
        <v>1.75</v>
      </c>
      <c r="L94" s="57"/>
      <c r="M94" s="58"/>
    </row>
    <row r="95" spans="1:13" ht="18.75" customHeight="1" x14ac:dyDescent="0.3">
      <c r="A95" s="28">
        <f t="shared" ref="A95:A100" si="77">+A94+1</f>
        <v>79</v>
      </c>
      <c r="B95" s="29" t="s">
        <v>40</v>
      </c>
      <c r="C95" s="30"/>
      <c r="D95" s="42">
        <f t="shared" ref="D95:D98" si="78">+C95*60</f>
        <v>0</v>
      </c>
      <c r="E95" s="32" t="str">
        <f t="shared" si="72"/>
        <v/>
      </c>
      <c r="F95" s="33">
        <f t="shared" si="73"/>
        <v>100</v>
      </c>
      <c r="G95" s="34" t="s">
        <v>33</v>
      </c>
      <c r="H95" s="35"/>
      <c r="I95" s="36" t="str">
        <f t="shared" si="74"/>
        <v/>
      </c>
      <c r="J95" s="37" t="str">
        <f t="shared" si="75"/>
        <v/>
      </c>
      <c r="K95" s="38" t="str">
        <f t="shared" si="76"/>
        <v/>
      </c>
      <c r="L95" s="38">
        <f>MROUND(F95/120,0.5)</f>
        <v>1</v>
      </c>
      <c r="M95" s="44"/>
    </row>
    <row r="96" spans="1:13" ht="18.75" customHeight="1" x14ac:dyDescent="0.3">
      <c r="A96" s="28">
        <f t="shared" si="77"/>
        <v>80</v>
      </c>
      <c r="B96" s="29" t="s">
        <v>41</v>
      </c>
      <c r="C96" s="30">
        <v>0.45</v>
      </c>
      <c r="D96" s="42">
        <f t="shared" si="78"/>
        <v>27</v>
      </c>
      <c r="E96" s="32">
        <f t="shared" si="72"/>
        <v>133.33333333333334</v>
      </c>
      <c r="F96" s="33">
        <f t="shared" si="73"/>
        <v>100</v>
      </c>
      <c r="G96" s="34" t="s">
        <v>42</v>
      </c>
      <c r="H96" s="35"/>
      <c r="I96" s="36">
        <f t="shared" si="74"/>
        <v>0.75</v>
      </c>
      <c r="J96" s="37">
        <f t="shared" si="75"/>
        <v>1</v>
      </c>
      <c r="K96" s="38">
        <f t="shared" si="76"/>
        <v>0.75</v>
      </c>
      <c r="L96" s="38"/>
      <c r="M96" s="44"/>
    </row>
    <row r="97" spans="1:14" ht="18.75" customHeight="1" x14ac:dyDescent="0.3">
      <c r="A97" s="28">
        <f t="shared" si="77"/>
        <v>81</v>
      </c>
      <c r="B97" s="40" t="s">
        <v>43</v>
      </c>
      <c r="C97" s="41">
        <v>0.45</v>
      </c>
      <c r="D97" s="42">
        <f>+C97*60</f>
        <v>27</v>
      </c>
      <c r="E97" s="32">
        <f t="shared" si="72"/>
        <v>133.33333333333334</v>
      </c>
      <c r="F97" s="33">
        <f t="shared" si="73"/>
        <v>100</v>
      </c>
      <c r="G97" s="34" t="s">
        <v>44</v>
      </c>
      <c r="H97" s="35"/>
      <c r="I97" s="36">
        <f t="shared" si="74"/>
        <v>0.75</v>
      </c>
      <c r="J97" s="37">
        <f t="shared" si="75"/>
        <v>1</v>
      </c>
      <c r="K97" s="38">
        <f t="shared" si="76"/>
        <v>0.75</v>
      </c>
      <c r="L97" s="38"/>
      <c r="M97" s="44"/>
    </row>
    <row r="98" spans="1:14" s="61" customFormat="1" ht="18.75" customHeight="1" x14ac:dyDescent="0.3">
      <c r="A98" s="28">
        <f t="shared" si="77"/>
        <v>82</v>
      </c>
      <c r="B98" s="40" t="s">
        <v>45</v>
      </c>
      <c r="C98" s="41">
        <v>0.7</v>
      </c>
      <c r="D98" s="42">
        <f t="shared" si="78"/>
        <v>42</v>
      </c>
      <c r="E98" s="32">
        <f t="shared" si="72"/>
        <v>85.714285714285722</v>
      </c>
      <c r="F98" s="33">
        <f t="shared" si="73"/>
        <v>100</v>
      </c>
      <c r="G98" s="59" t="s">
        <v>33</v>
      </c>
      <c r="H98" s="35"/>
      <c r="I98" s="36">
        <f t="shared" si="74"/>
        <v>1.1666666666666667</v>
      </c>
      <c r="J98" s="37">
        <f t="shared" si="75"/>
        <v>2</v>
      </c>
      <c r="K98" s="38">
        <f t="shared" si="76"/>
        <v>1.25</v>
      </c>
      <c r="L98" s="57"/>
      <c r="M98" s="60"/>
      <c r="N98" s="1"/>
    </row>
    <row r="99" spans="1:14" ht="18.75" customHeight="1" x14ac:dyDescent="0.3">
      <c r="A99" s="28">
        <f t="shared" si="77"/>
        <v>83</v>
      </c>
      <c r="B99" s="40" t="s">
        <v>46</v>
      </c>
      <c r="C99" s="41">
        <v>0.45</v>
      </c>
      <c r="D99" s="55">
        <f>C99*60</f>
        <v>27</v>
      </c>
      <c r="E99" s="32">
        <f t="shared" si="72"/>
        <v>133.33333333333334</v>
      </c>
      <c r="F99" s="33">
        <f t="shared" si="73"/>
        <v>100</v>
      </c>
      <c r="G99" s="55" t="s">
        <v>33</v>
      </c>
      <c r="H99" s="56"/>
      <c r="I99" s="36">
        <f t="shared" si="74"/>
        <v>0.75</v>
      </c>
      <c r="J99" s="37">
        <f t="shared" si="75"/>
        <v>1</v>
      </c>
      <c r="K99" s="38">
        <f t="shared" si="76"/>
        <v>0.75</v>
      </c>
      <c r="L99" s="62"/>
      <c r="M99" s="60"/>
    </row>
    <row r="100" spans="1:14" ht="18.75" customHeight="1" thickBot="1" x14ac:dyDescent="0.35">
      <c r="A100" s="28">
        <f t="shared" si="77"/>
        <v>84</v>
      </c>
      <c r="B100" s="40" t="s">
        <v>47</v>
      </c>
      <c r="C100" s="41">
        <v>0.45</v>
      </c>
      <c r="D100" s="55">
        <f>C100*60</f>
        <v>27</v>
      </c>
      <c r="E100" s="32">
        <f t="shared" si="72"/>
        <v>133.33333333333334</v>
      </c>
      <c r="F100" s="33">
        <f t="shared" si="73"/>
        <v>100</v>
      </c>
      <c r="G100" s="55" t="s">
        <v>33</v>
      </c>
      <c r="H100" s="56"/>
      <c r="I100" s="36">
        <f t="shared" si="74"/>
        <v>0.75</v>
      </c>
      <c r="J100" s="37">
        <f t="shared" si="75"/>
        <v>1</v>
      </c>
      <c r="K100" s="38">
        <f t="shared" si="76"/>
        <v>0.75</v>
      </c>
      <c r="L100" s="62"/>
      <c r="M100" s="60"/>
    </row>
    <row r="101" spans="1:14" s="14" customFormat="1" ht="18.75" customHeight="1" thickBot="1" x14ac:dyDescent="0.35">
      <c r="A101" s="63"/>
      <c r="B101" s="64"/>
      <c r="C101" s="65">
        <f>+SUM(C93:C100)</f>
        <v>3.5</v>
      </c>
      <c r="D101" s="66"/>
      <c r="E101" s="67"/>
      <c r="F101" s="66"/>
      <c r="G101" s="67"/>
      <c r="H101" s="68"/>
      <c r="I101" s="65">
        <f>+SUM(I93:I100)</f>
        <v>5.8333333333333339</v>
      </c>
      <c r="J101" s="65">
        <f>+SUM(J93:J100)</f>
        <v>8</v>
      </c>
      <c r="K101" s="65">
        <f>+SUM(K93:K100)</f>
        <v>6</v>
      </c>
      <c r="L101" s="65">
        <f>+SUM(L93:L100)</f>
        <v>2.5</v>
      </c>
      <c r="M101" s="69"/>
    </row>
    <row r="102" spans="1:14" ht="18.75" customHeight="1" thickBot="1" x14ac:dyDescent="0.35">
      <c r="A102" s="50"/>
      <c r="B102" s="70"/>
      <c r="C102" s="51">
        <f>C101+C92</f>
        <v>41.75</v>
      </c>
      <c r="D102" s="52"/>
      <c r="E102" s="52"/>
      <c r="F102" s="53"/>
      <c r="G102" s="53"/>
      <c r="H102" s="50"/>
      <c r="I102" s="51">
        <f>I101+I92</f>
        <v>69.583333333333329</v>
      </c>
      <c r="J102" s="51">
        <f>J101+J92</f>
        <v>96</v>
      </c>
      <c r="K102" s="51">
        <f>K101+K92</f>
        <v>69.25</v>
      </c>
      <c r="L102" s="51">
        <f ca="1">L101+L92</f>
        <v>2.5</v>
      </c>
      <c r="M102" s="54"/>
    </row>
    <row r="103" spans="1:14" ht="18.75" customHeight="1" thickBot="1" x14ac:dyDescent="0.35">
      <c r="A103" s="107"/>
      <c r="B103" s="108"/>
      <c r="C103" s="109"/>
      <c r="D103" s="110"/>
      <c r="E103" s="110"/>
      <c r="F103" s="111"/>
      <c r="G103" s="111" t="s">
        <v>255</v>
      </c>
      <c r="H103" s="112"/>
      <c r="I103" s="109"/>
      <c r="J103" s="51" t="s">
        <v>255</v>
      </c>
      <c r="K103" s="51"/>
      <c r="L103" s="51"/>
      <c r="M103" s="54"/>
    </row>
    <row r="104" spans="1:14" ht="18.75" customHeight="1" thickBot="1" x14ac:dyDescent="0.35">
      <c r="A104" s="71"/>
      <c r="B104" s="14"/>
      <c r="C104" s="72"/>
      <c r="D104" s="73"/>
      <c r="E104" s="73"/>
      <c r="F104" s="74"/>
      <c r="G104" s="74"/>
      <c r="H104" s="15"/>
      <c r="I104" s="72"/>
      <c r="J104" s="98" t="s">
        <v>2</v>
      </c>
      <c r="K104" s="98" t="s">
        <v>104</v>
      </c>
      <c r="L104" s="98" t="s">
        <v>105</v>
      </c>
      <c r="M104" s="98" t="s">
        <v>106</v>
      </c>
    </row>
    <row r="105" spans="1:14" ht="18.75" customHeight="1" thickBot="1" x14ac:dyDescent="0.35">
      <c r="A105" s="4"/>
      <c r="B105" s="124" t="s">
        <v>48</v>
      </c>
      <c r="C105" s="124"/>
      <c r="D105" s="75" t="s">
        <v>49</v>
      </c>
      <c r="E105" s="75" t="s">
        <v>50</v>
      </c>
      <c r="F105" s="75" t="s">
        <v>49</v>
      </c>
      <c r="G105" s="75" t="s">
        <v>50</v>
      </c>
      <c r="H105" s="9" t="s">
        <v>92</v>
      </c>
      <c r="I105" s="8">
        <v>700000</v>
      </c>
      <c r="J105" s="90">
        <f>IF(TEXT(I107+I109,"dddd")="Friday",I107+I109+1,I107+I109)</f>
        <v>45243</v>
      </c>
      <c r="K105" s="91">
        <f>+$I$3*N105</f>
        <v>300</v>
      </c>
      <c r="L105" s="91">
        <f>+$I$105-K105</f>
        <v>699700</v>
      </c>
      <c r="M105" s="97">
        <f>+J105-$I$107</f>
        <v>2</v>
      </c>
      <c r="N105" s="100">
        <v>0.3</v>
      </c>
    </row>
    <row r="106" spans="1:14" ht="18.75" customHeight="1" thickBot="1" x14ac:dyDescent="0.35">
      <c r="A106" s="76"/>
      <c r="B106" s="77" t="s">
        <v>51</v>
      </c>
      <c r="C106" s="78">
        <f>K102</f>
        <v>69.25</v>
      </c>
      <c r="D106" s="79" t="s">
        <v>30</v>
      </c>
      <c r="E106" s="86">
        <f t="shared" ref="E106:E123" si="79">SUMIF($G$9:$G$100,D106,$J$9:$J$100)</f>
        <v>24</v>
      </c>
      <c r="F106" s="81" t="s">
        <v>70</v>
      </c>
      <c r="G106" s="86">
        <f t="shared" ref="G106:G123" si="80">SUMIF($G$9:$G$100,F106,$J$9:$J$100)</f>
        <v>0</v>
      </c>
      <c r="H106" s="11" t="s">
        <v>98</v>
      </c>
      <c r="I106" s="8">
        <v>1</v>
      </c>
      <c r="J106" s="90">
        <f>IF(TEXT(J105+1,"dddd")="Friday",J105+2,J105+1)</f>
        <v>45244</v>
      </c>
      <c r="K106" s="91">
        <f t="shared" ref="K106:K123" si="81">+$I$3*N106</f>
        <v>350</v>
      </c>
      <c r="L106" s="91">
        <f t="shared" ref="L106:L125" si="82">+L105-K106</f>
        <v>699350</v>
      </c>
      <c r="M106" s="97">
        <f t="shared" ref="M106:M125" si="83">+J106-$I$107</f>
        <v>3</v>
      </c>
      <c r="N106" s="100">
        <v>0.35</v>
      </c>
    </row>
    <row r="107" spans="1:14" ht="18.75" customHeight="1" thickBot="1" x14ac:dyDescent="0.35">
      <c r="A107" s="76"/>
      <c r="B107" s="77" t="s">
        <v>52</v>
      </c>
      <c r="C107" s="78">
        <f ca="1">L102</f>
        <v>2.5</v>
      </c>
      <c r="D107" s="81" t="s">
        <v>53</v>
      </c>
      <c r="E107" s="80">
        <f t="shared" si="79"/>
        <v>0</v>
      </c>
      <c r="F107" s="81" t="s">
        <v>71</v>
      </c>
      <c r="G107" s="80">
        <f t="shared" si="80"/>
        <v>0</v>
      </c>
      <c r="H107" s="9" t="s">
        <v>94</v>
      </c>
      <c r="I107" s="10">
        <v>45241</v>
      </c>
      <c r="J107" s="90">
        <f t="shared" ref="J107:J123" si="84">IF(TEXT(J106+1,"dddd")="Friday",J106+2,J106+1)</f>
        <v>45245</v>
      </c>
      <c r="K107" s="91">
        <f t="shared" si="81"/>
        <v>400</v>
      </c>
      <c r="L107" s="91">
        <f t="shared" si="82"/>
        <v>698950</v>
      </c>
      <c r="M107" s="97">
        <f t="shared" si="83"/>
        <v>4</v>
      </c>
      <c r="N107" s="100">
        <v>0.4</v>
      </c>
    </row>
    <row r="108" spans="1:14" ht="18.75" customHeight="1" thickBot="1" x14ac:dyDescent="0.35">
      <c r="A108" s="76"/>
      <c r="B108" s="77" t="s">
        <v>69</v>
      </c>
      <c r="C108" s="78">
        <f>+IF($C$106&lt;25,0.5,1)</f>
        <v>1</v>
      </c>
      <c r="D108" s="81" t="s">
        <v>54</v>
      </c>
      <c r="E108" s="80">
        <f t="shared" si="79"/>
        <v>0</v>
      </c>
      <c r="F108" s="81" t="s">
        <v>57</v>
      </c>
      <c r="G108" s="80">
        <f t="shared" si="80"/>
        <v>0</v>
      </c>
      <c r="J108" s="90">
        <f t="shared" si="84"/>
        <v>45246</v>
      </c>
      <c r="K108" s="91">
        <f t="shared" si="81"/>
        <v>450</v>
      </c>
      <c r="L108" s="91">
        <f t="shared" si="82"/>
        <v>698500</v>
      </c>
      <c r="M108" s="97">
        <f t="shared" si="83"/>
        <v>5</v>
      </c>
      <c r="N108" s="100">
        <v>0.45</v>
      </c>
    </row>
    <row r="109" spans="1:14" ht="18.75" customHeight="1" thickBot="1" x14ac:dyDescent="0.35">
      <c r="A109" s="76"/>
      <c r="B109" s="77" t="s">
        <v>55</v>
      </c>
      <c r="C109" s="78">
        <f>+IF($C$106&lt;25,0.5,1)</f>
        <v>1</v>
      </c>
      <c r="D109" s="81" t="s">
        <v>31</v>
      </c>
      <c r="E109" s="80">
        <f t="shared" si="79"/>
        <v>0</v>
      </c>
      <c r="F109" s="81" t="s">
        <v>59</v>
      </c>
      <c r="G109" s="80">
        <f t="shared" si="80"/>
        <v>0</v>
      </c>
      <c r="H109" s="9" t="s">
        <v>93</v>
      </c>
      <c r="I109" s="9">
        <f>+IF((C3&lt;9.99),0.5,IF(AND(C3&gt;9.999,C3&lt;19.99),1,IF(AND(C3&gt;19.999,C3&lt;35),1.5,2)))*I106</f>
        <v>2</v>
      </c>
      <c r="J109" s="90">
        <f t="shared" si="84"/>
        <v>45248</v>
      </c>
      <c r="K109" s="91">
        <f t="shared" si="81"/>
        <v>500</v>
      </c>
      <c r="L109" s="91">
        <f t="shared" si="82"/>
        <v>698000</v>
      </c>
      <c r="M109" s="97">
        <f t="shared" si="83"/>
        <v>7</v>
      </c>
      <c r="N109" s="100">
        <v>0.5</v>
      </c>
    </row>
    <row r="110" spans="1:14" ht="18.75" customHeight="1" thickBot="1" x14ac:dyDescent="0.35">
      <c r="A110" s="76"/>
      <c r="B110" s="81" t="s">
        <v>102</v>
      </c>
      <c r="C110" s="78">
        <v>2</v>
      </c>
      <c r="D110" s="81" t="s">
        <v>72</v>
      </c>
      <c r="E110" s="80">
        <f t="shared" si="79"/>
        <v>7</v>
      </c>
      <c r="F110" s="81" t="s">
        <v>73</v>
      </c>
      <c r="G110" s="80">
        <f t="shared" si="80"/>
        <v>0</v>
      </c>
      <c r="H110" s="10" t="s">
        <v>95</v>
      </c>
      <c r="I110" s="93">
        <f>+I105/I3/I106</f>
        <v>700</v>
      </c>
      <c r="J110" s="90">
        <f t="shared" si="84"/>
        <v>45249</v>
      </c>
      <c r="K110" s="91">
        <f t="shared" si="81"/>
        <v>550</v>
      </c>
      <c r="L110" s="91">
        <f t="shared" si="82"/>
        <v>697450</v>
      </c>
      <c r="M110" s="97">
        <f t="shared" si="83"/>
        <v>8</v>
      </c>
      <c r="N110" s="100">
        <v>0.55000000000000004</v>
      </c>
    </row>
    <row r="111" spans="1:14" ht="18.75" customHeight="1" thickBot="1" x14ac:dyDescent="0.35">
      <c r="A111" s="76"/>
      <c r="B111" s="82" t="s">
        <v>56</v>
      </c>
      <c r="C111" s="83" t="e">
        <f ca="1">SUM(C106:C110)</f>
        <v>#REF!</v>
      </c>
      <c r="D111" s="81" t="s">
        <v>32</v>
      </c>
      <c r="E111" s="80">
        <f t="shared" si="79"/>
        <v>13</v>
      </c>
      <c r="F111" s="81" t="s">
        <v>74</v>
      </c>
      <c r="G111" s="80">
        <f t="shared" si="80"/>
        <v>0</v>
      </c>
      <c r="H111" s="11" t="s">
        <v>97</v>
      </c>
      <c r="I111" s="92">
        <f>+IF((I105&lt;2499.9),30%,IF(AND(I105&gt;2499.99,I105&lt;4999.9),50%,IF(AND(I105&gt;4999.99,I105&lt;9999.9),65%,IF(AND(I105&gt;9999.99,I105&lt;19999.9),80%,IF(AND(I105&gt;19999.99,I105&lt;49999.9),85%,IF(AND(I105&gt;49999.99,I105&lt;74999.9),90%,IF(AND(I105&gt;74999.99,I105&lt;99999.9),95%,100%)))))))</f>
        <v>1</v>
      </c>
      <c r="J111" s="90">
        <f t="shared" si="84"/>
        <v>45250</v>
      </c>
      <c r="K111" s="91">
        <f t="shared" si="81"/>
        <v>600</v>
      </c>
      <c r="L111" s="91">
        <f t="shared" si="82"/>
        <v>696850</v>
      </c>
      <c r="M111" s="97">
        <f t="shared" si="83"/>
        <v>9</v>
      </c>
      <c r="N111" s="100">
        <v>0.6</v>
      </c>
    </row>
    <row r="112" spans="1:14" ht="18.75" customHeight="1" thickBot="1" x14ac:dyDescent="0.35">
      <c r="A112" s="76"/>
      <c r="B112" s="14"/>
      <c r="C112" s="16"/>
      <c r="D112" s="81" t="s">
        <v>29</v>
      </c>
      <c r="E112" s="80">
        <f t="shared" si="79"/>
        <v>5</v>
      </c>
      <c r="F112" s="81" t="s">
        <v>75</v>
      </c>
      <c r="G112" s="80">
        <f t="shared" si="80"/>
        <v>0</v>
      </c>
      <c r="H112" s="11" t="s">
        <v>96</v>
      </c>
      <c r="I112" s="12">
        <f>(I110+I110*(1-K4/1)+I109)+(I110+I110*(1-K4/1)+I109)/7</f>
        <v>802.28571428571433</v>
      </c>
      <c r="J112" s="90">
        <f t="shared" si="84"/>
        <v>45251</v>
      </c>
      <c r="K112" s="91">
        <f t="shared" si="81"/>
        <v>650</v>
      </c>
      <c r="L112" s="91">
        <f t="shared" si="82"/>
        <v>696200</v>
      </c>
      <c r="M112" s="97">
        <f t="shared" si="83"/>
        <v>10</v>
      </c>
      <c r="N112" s="100">
        <v>0.65</v>
      </c>
    </row>
    <row r="113" spans="1:14" ht="18.75" customHeight="1" thickBot="1" x14ac:dyDescent="0.35">
      <c r="A113" s="76"/>
      <c r="B113" s="14"/>
      <c r="C113" s="1"/>
      <c r="D113" s="81" t="s">
        <v>64</v>
      </c>
      <c r="E113" s="80">
        <f t="shared" si="79"/>
        <v>0</v>
      </c>
      <c r="F113" s="81" t="s">
        <v>58</v>
      </c>
      <c r="G113" s="80">
        <f t="shared" si="80"/>
        <v>0</v>
      </c>
      <c r="H113" s="10" t="s">
        <v>99</v>
      </c>
      <c r="I113" s="94" t="e">
        <f ca="1">+I112*C111*55*I106</f>
        <v>#REF!</v>
      </c>
      <c r="J113" s="90">
        <f t="shared" si="84"/>
        <v>45252</v>
      </c>
      <c r="K113" s="91">
        <f t="shared" si="81"/>
        <v>700</v>
      </c>
      <c r="L113" s="91">
        <f t="shared" si="82"/>
        <v>695500</v>
      </c>
      <c r="M113" s="97">
        <f t="shared" si="83"/>
        <v>11</v>
      </c>
      <c r="N113" s="100">
        <v>0.7</v>
      </c>
    </row>
    <row r="114" spans="1:14" ht="18.75" customHeight="1" thickBot="1" x14ac:dyDescent="0.35">
      <c r="A114" s="76"/>
      <c r="B114" s="14"/>
      <c r="C114" s="1"/>
      <c r="D114" s="81" t="s">
        <v>65</v>
      </c>
      <c r="E114" s="80">
        <f t="shared" si="79"/>
        <v>0</v>
      </c>
      <c r="F114" s="81" t="s">
        <v>60</v>
      </c>
      <c r="G114" s="80">
        <f t="shared" si="80"/>
        <v>0</v>
      </c>
      <c r="H114" s="10" t="s">
        <v>100</v>
      </c>
      <c r="I114" s="95">
        <f>+I105*E5</f>
        <v>2590000</v>
      </c>
      <c r="J114" s="90">
        <f t="shared" si="84"/>
        <v>45253</v>
      </c>
      <c r="K114" s="91">
        <f t="shared" si="81"/>
        <v>750</v>
      </c>
      <c r="L114" s="91">
        <f t="shared" si="82"/>
        <v>694750</v>
      </c>
      <c r="M114" s="97">
        <f t="shared" si="83"/>
        <v>12</v>
      </c>
      <c r="N114" s="100">
        <v>0.75</v>
      </c>
    </row>
    <row r="115" spans="1:14" ht="18.75" customHeight="1" thickBot="1" x14ac:dyDescent="0.35">
      <c r="A115" s="76"/>
      <c r="B115" s="14"/>
      <c r="C115" s="1"/>
      <c r="D115" s="81" t="s">
        <v>61</v>
      </c>
      <c r="E115" s="80">
        <f t="shared" si="79"/>
        <v>1</v>
      </c>
      <c r="F115" s="81" t="s">
        <v>76</v>
      </c>
      <c r="G115" s="80">
        <f t="shared" si="80"/>
        <v>0</v>
      </c>
      <c r="H115" s="10" t="s">
        <v>101</v>
      </c>
      <c r="I115" s="95" t="e">
        <f ca="1">+I114-I113</f>
        <v>#REF!</v>
      </c>
      <c r="J115" s="90">
        <f t="shared" si="84"/>
        <v>45255</v>
      </c>
      <c r="K115" s="91">
        <f t="shared" si="81"/>
        <v>800</v>
      </c>
      <c r="L115" s="91">
        <f t="shared" si="82"/>
        <v>693950</v>
      </c>
      <c r="M115" s="97">
        <f t="shared" si="83"/>
        <v>14</v>
      </c>
      <c r="N115" s="100">
        <v>0.8</v>
      </c>
    </row>
    <row r="116" spans="1:14" ht="18.75" customHeight="1" thickBot="1" x14ac:dyDescent="0.35">
      <c r="A116" s="76"/>
      <c r="B116" s="14"/>
      <c r="C116" s="1"/>
      <c r="D116" s="81" t="s">
        <v>35</v>
      </c>
      <c r="E116" s="80">
        <f t="shared" si="79"/>
        <v>3</v>
      </c>
      <c r="F116" s="81" t="s">
        <v>77</v>
      </c>
      <c r="G116" s="80">
        <f t="shared" si="80"/>
        <v>0</v>
      </c>
      <c r="H116" s="11" t="s">
        <v>103</v>
      </c>
      <c r="I116" s="96">
        <f>+I107+I112</f>
        <v>46043.285714285717</v>
      </c>
      <c r="J116" s="90">
        <f t="shared" si="84"/>
        <v>45256</v>
      </c>
      <c r="K116" s="91">
        <f t="shared" si="81"/>
        <v>850</v>
      </c>
      <c r="L116" s="91">
        <f t="shared" si="82"/>
        <v>693100</v>
      </c>
      <c r="M116" s="97">
        <f t="shared" si="83"/>
        <v>15</v>
      </c>
      <c r="N116" s="100">
        <v>0.85</v>
      </c>
    </row>
    <row r="117" spans="1:14" ht="18.75" customHeight="1" x14ac:dyDescent="0.3">
      <c r="A117" s="76"/>
      <c r="B117" s="14"/>
      <c r="C117" s="1"/>
      <c r="D117" s="81" t="s">
        <v>66</v>
      </c>
      <c r="E117" s="80">
        <f t="shared" si="79"/>
        <v>0</v>
      </c>
      <c r="F117" s="81" t="s">
        <v>78</v>
      </c>
      <c r="G117" s="80">
        <f t="shared" si="80"/>
        <v>0</v>
      </c>
      <c r="H117" s="1"/>
      <c r="I117" s="1"/>
      <c r="J117" s="90">
        <f t="shared" si="84"/>
        <v>45257</v>
      </c>
      <c r="K117" s="91">
        <f t="shared" si="81"/>
        <v>900</v>
      </c>
      <c r="L117" s="91">
        <f t="shared" si="82"/>
        <v>692200</v>
      </c>
      <c r="M117" s="97">
        <f t="shared" si="83"/>
        <v>16</v>
      </c>
      <c r="N117" s="100">
        <v>0.9</v>
      </c>
    </row>
    <row r="118" spans="1:14" ht="18.75" customHeight="1" x14ac:dyDescent="0.3">
      <c r="A118" s="76"/>
      <c r="B118" s="14"/>
      <c r="C118" s="16"/>
      <c r="D118" s="81" t="s">
        <v>62</v>
      </c>
      <c r="E118" s="80">
        <f t="shared" si="79"/>
        <v>0</v>
      </c>
      <c r="F118" s="81" t="s">
        <v>79</v>
      </c>
      <c r="G118" s="80">
        <f t="shared" si="80"/>
        <v>0</v>
      </c>
      <c r="H118" s="1"/>
      <c r="I118" s="1"/>
      <c r="J118" s="90">
        <f t="shared" si="84"/>
        <v>45258</v>
      </c>
      <c r="K118" s="91">
        <f t="shared" si="81"/>
        <v>950</v>
      </c>
      <c r="L118" s="91">
        <f t="shared" si="82"/>
        <v>691250</v>
      </c>
      <c r="M118" s="97">
        <f t="shared" si="83"/>
        <v>17</v>
      </c>
      <c r="N118" s="100">
        <v>0.95</v>
      </c>
    </row>
    <row r="119" spans="1:14" ht="18.75" customHeight="1" x14ac:dyDescent="0.3">
      <c r="A119" s="4"/>
      <c r="B119" s="14"/>
      <c r="C119" s="84"/>
      <c r="D119" s="81" t="s">
        <v>34</v>
      </c>
      <c r="E119" s="80">
        <f t="shared" si="79"/>
        <v>2</v>
      </c>
      <c r="F119" s="81" t="s">
        <v>80</v>
      </c>
      <c r="G119" s="80">
        <f t="shared" si="80"/>
        <v>0</v>
      </c>
      <c r="J119" s="90">
        <f t="shared" si="84"/>
        <v>45259</v>
      </c>
      <c r="K119" s="91">
        <f t="shared" si="81"/>
        <v>1000</v>
      </c>
      <c r="L119" s="91">
        <f t="shared" si="82"/>
        <v>690250</v>
      </c>
      <c r="M119" s="97">
        <f t="shared" si="83"/>
        <v>18</v>
      </c>
      <c r="N119" s="100">
        <v>1</v>
      </c>
    </row>
    <row r="120" spans="1:14" ht="18.75" customHeight="1" x14ac:dyDescent="0.3">
      <c r="A120" s="76"/>
      <c r="B120" s="14"/>
      <c r="C120" s="84"/>
      <c r="D120" s="81" t="s">
        <v>42</v>
      </c>
      <c r="E120" s="80">
        <f t="shared" si="79"/>
        <v>1</v>
      </c>
      <c r="F120" s="81" t="s">
        <v>81</v>
      </c>
      <c r="G120" s="80">
        <f t="shared" si="80"/>
        <v>0</v>
      </c>
      <c r="J120" s="90">
        <f t="shared" si="84"/>
        <v>45260</v>
      </c>
      <c r="K120" s="91">
        <f t="shared" si="81"/>
        <v>1050</v>
      </c>
      <c r="L120" s="91">
        <f t="shared" si="82"/>
        <v>689200</v>
      </c>
      <c r="M120" s="97">
        <f t="shared" si="83"/>
        <v>19</v>
      </c>
      <c r="N120" s="100">
        <v>1.05</v>
      </c>
    </row>
    <row r="121" spans="1:14" ht="18.75" customHeight="1" x14ac:dyDescent="0.3">
      <c r="A121" s="76"/>
      <c r="B121" s="14"/>
      <c r="C121" s="84"/>
      <c r="D121" s="81" t="s">
        <v>63</v>
      </c>
      <c r="E121" s="80">
        <f t="shared" si="79"/>
        <v>0</v>
      </c>
      <c r="F121" s="81" t="s">
        <v>33</v>
      </c>
      <c r="G121" s="80">
        <f t="shared" si="80"/>
        <v>8</v>
      </c>
      <c r="J121" s="90">
        <f t="shared" si="84"/>
        <v>45262</v>
      </c>
      <c r="K121" s="91">
        <f t="shared" si="81"/>
        <v>1100</v>
      </c>
      <c r="L121" s="91">
        <f t="shared" si="82"/>
        <v>688100</v>
      </c>
      <c r="M121" s="97">
        <f t="shared" si="83"/>
        <v>21</v>
      </c>
      <c r="N121" s="100">
        <v>1.1000000000000001</v>
      </c>
    </row>
    <row r="122" spans="1:14" ht="18.75" customHeight="1" x14ac:dyDescent="0.3">
      <c r="A122" s="76"/>
      <c r="B122" s="14"/>
      <c r="C122" s="84"/>
      <c r="D122" s="81" t="s">
        <v>82</v>
      </c>
      <c r="E122" s="80">
        <f t="shared" si="79"/>
        <v>0</v>
      </c>
      <c r="F122" s="81" t="s">
        <v>44</v>
      </c>
      <c r="G122" s="80">
        <f t="shared" si="80"/>
        <v>1</v>
      </c>
      <c r="J122" s="90">
        <f t="shared" si="84"/>
        <v>45263</v>
      </c>
      <c r="K122" s="91">
        <f t="shared" si="81"/>
        <v>1150</v>
      </c>
      <c r="L122" s="91">
        <f t="shared" si="82"/>
        <v>686950</v>
      </c>
      <c r="M122" s="97">
        <f t="shared" si="83"/>
        <v>22</v>
      </c>
      <c r="N122" s="100">
        <v>1.1499999999999999</v>
      </c>
    </row>
    <row r="123" spans="1:14" ht="18.75" customHeight="1" thickBot="1" x14ac:dyDescent="0.35">
      <c r="A123" s="76"/>
      <c r="B123" s="14"/>
      <c r="C123" s="84"/>
      <c r="D123" s="85" t="s">
        <v>83</v>
      </c>
      <c r="E123" s="87">
        <f t="shared" si="79"/>
        <v>0</v>
      </c>
      <c r="F123" s="85" t="s">
        <v>28</v>
      </c>
      <c r="G123" s="87">
        <f t="shared" si="80"/>
        <v>11</v>
      </c>
      <c r="J123" s="90">
        <f t="shared" si="84"/>
        <v>45264</v>
      </c>
      <c r="K123" s="91">
        <f t="shared" si="81"/>
        <v>1200</v>
      </c>
      <c r="L123" s="91">
        <f t="shared" si="82"/>
        <v>685750</v>
      </c>
      <c r="M123" s="97">
        <f t="shared" si="83"/>
        <v>23</v>
      </c>
      <c r="N123" s="100">
        <v>1.2</v>
      </c>
    </row>
    <row r="124" spans="1:14" ht="18.75" customHeight="1" thickBot="1" x14ac:dyDescent="0.35">
      <c r="A124" s="76"/>
      <c r="B124" s="14"/>
      <c r="C124" s="84"/>
      <c r="F124" s="74"/>
      <c r="J124" s="97">
        <f>(J125-J123)-(J125-J123)/7</f>
        <v>667.95918367347201</v>
      </c>
      <c r="K124" s="91">
        <f>+J124*K125</f>
        <v>801551.02040816646</v>
      </c>
      <c r="L124" s="97">
        <f t="shared" si="82"/>
        <v>-115801.02040816646</v>
      </c>
      <c r="M124" s="97"/>
    </row>
    <row r="125" spans="1:14" ht="18.75" customHeight="1" thickBot="1" x14ac:dyDescent="0.35">
      <c r="A125" s="76"/>
      <c r="B125" s="14"/>
      <c r="C125" s="84"/>
      <c r="D125" s="115" t="s">
        <v>84</v>
      </c>
      <c r="E125" s="116"/>
      <c r="F125" s="116"/>
      <c r="G125" s="99">
        <f>+SUM(E106:E123,G106:G123)</f>
        <v>76</v>
      </c>
      <c r="J125" s="90">
        <f>+I116</f>
        <v>46043.285714285717</v>
      </c>
      <c r="K125" s="91">
        <f>+K123</f>
        <v>1200</v>
      </c>
      <c r="L125" s="97">
        <f t="shared" si="82"/>
        <v>-117001.02040816646</v>
      </c>
      <c r="M125" s="97">
        <f t="shared" si="83"/>
        <v>802.2857142857174</v>
      </c>
    </row>
    <row r="126" spans="1:14" ht="18.75" customHeight="1" x14ac:dyDescent="0.3">
      <c r="A126" s="76"/>
      <c r="B126" s="14"/>
      <c r="E126" s="74"/>
      <c r="G126" s="16"/>
      <c r="I126" s="1"/>
      <c r="J126" s="1"/>
      <c r="K126" s="84">
        <f>SUM(K105:K125)</f>
        <v>817001.02040816646</v>
      </c>
    </row>
    <row r="127" spans="1:14" ht="18.75" customHeight="1" x14ac:dyDescent="0.3">
      <c r="A127" s="76"/>
      <c r="B127" s="14"/>
      <c r="E127" s="74"/>
      <c r="G127" s="16"/>
      <c r="H127" s="16"/>
      <c r="I127" s="1"/>
      <c r="J127" s="1"/>
      <c r="K127" s="1"/>
      <c r="L127" s="1"/>
    </row>
    <row r="128" spans="1:14" ht="18.75" customHeight="1" x14ac:dyDescent="0.3">
      <c r="A128" s="76"/>
      <c r="B128" s="14"/>
      <c r="E128" s="74"/>
      <c r="G128" s="16"/>
      <c r="H128" s="16"/>
      <c r="I128" s="1"/>
      <c r="J128" s="1"/>
      <c r="K128" s="1"/>
      <c r="L128" s="1"/>
    </row>
    <row r="129" spans="1:14" ht="18.75" customHeight="1" x14ac:dyDescent="0.3">
      <c r="A129" s="76"/>
      <c r="B129" s="14"/>
      <c r="E129" s="74"/>
      <c r="G129" s="16"/>
      <c r="H129" s="16"/>
      <c r="I129" s="1"/>
      <c r="J129" s="1"/>
      <c r="K129" s="1"/>
      <c r="L129" s="1"/>
    </row>
    <row r="130" spans="1:14" ht="18.75" customHeight="1" x14ac:dyDescent="0.3">
      <c r="A130" s="76"/>
      <c r="B130" s="14"/>
      <c r="E130" s="74"/>
      <c r="G130" s="16"/>
      <c r="H130" s="16"/>
      <c r="I130" s="1"/>
      <c r="J130" s="1"/>
      <c r="K130" s="1"/>
      <c r="L130" s="1"/>
    </row>
    <row r="131" spans="1:14" ht="18.75" customHeight="1" x14ac:dyDescent="0.3">
      <c r="A131" s="76"/>
      <c r="B131" s="14"/>
      <c r="E131" s="74"/>
      <c r="G131" s="16"/>
      <c r="H131" s="16"/>
      <c r="I131" s="1"/>
      <c r="J131" s="1"/>
      <c r="K131" s="1"/>
      <c r="L131" s="1"/>
    </row>
    <row r="132" spans="1:14" ht="18.75" customHeight="1" x14ac:dyDescent="0.3">
      <c r="A132" s="76"/>
      <c r="B132" s="14"/>
      <c r="E132" s="74"/>
      <c r="G132" s="16"/>
      <c r="H132" s="16"/>
      <c r="I132" s="1"/>
      <c r="J132" s="1"/>
      <c r="K132" s="1"/>
      <c r="L132" s="1"/>
    </row>
    <row r="133" spans="1:14" ht="18.75" customHeight="1" x14ac:dyDescent="0.3">
      <c r="A133" s="76"/>
      <c r="B133" s="14"/>
      <c r="E133" s="74"/>
      <c r="G133" s="16"/>
      <c r="H133" s="16"/>
      <c r="I133" s="1"/>
      <c r="J133" s="1"/>
      <c r="K133" s="1"/>
      <c r="L133" s="1"/>
    </row>
    <row r="134" spans="1:14" ht="18.75" customHeight="1" x14ac:dyDescent="0.3">
      <c r="A134" s="76"/>
      <c r="B134" s="14"/>
      <c r="E134" s="74"/>
      <c r="G134" s="16"/>
      <c r="H134" s="16"/>
      <c r="I134" s="1"/>
      <c r="J134" s="1"/>
      <c r="K134" s="1"/>
      <c r="L134" s="1"/>
    </row>
    <row r="135" spans="1:14" ht="18.75" customHeight="1" x14ac:dyDescent="0.3">
      <c r="A135" s="76"/>
      <c r="B135" s="14"/>
      <c r="E135" s="74"/>
      <c r="G135" s="16"/>
      <c r="H135" s="16"/>
      <c r="I135" s="1"/>
      <c r="J135" s="1"/>
      <c r="K135" s="1"/>
      <c r="L135" s="1"/>
    </row>
    <row r="136" spans="1:14" ht="18.75" customHeight="1" x14ac:dyDescent="0.3">
      <c r="A136" s="76"/>
      <c r="B136" s="14"/>
      <c r="E136" s="74"/>
      <c r="G136" s="16"/>
      <c r="H136" s="16"/>
      <c r="I136" s="1"/>
      <c r="J136" s="1"/>
      <c r="K136" s="1"/>
      <c r="L136" s="1"/>
    </row>
    <row r="137" spans="1:14" ht="18.75" customHeight="1" x14ac:dyDescent="0.3">
      <c r="A137" s="76"/>
      <c r="D137" s="15"/>
      <c r="E137" s="74"/>
      <c r="G137" s="16"/>
      <c r="H137" s="16"/>
      <c r="I137" s="1"/>
      <c r="J137" s="1"/>
      <c r="K137" s="1"/>
      <c r="L137" s="1"/>
    </row>
    <row r="138" spans="1:14" ht="18.75" customHeight="1" x14ac:dyDescent="0.3">
      <c r="A138" s="76"/>
      <c r="D138" s="15"/>
      <c r="E138" s="74"/>
      <c r="G138" s="16"/>
      <c r="H138" s="16"/>
      <c r="I138" s="1"/>
      <c r="J138" s="1"/>
      <c r="K138" s="1"/>
      <c r="L138" s="1"/>
    </row>
    <row r="139" spans="1:14" ht="18.75" customHeight="1" x14ac:dyDescent="0.3">
      <c r="B139" s="14"/>
      <c r="C139" s="15"/>
      <c r="D139" s="15"/>
      <c r="E139" s="15"/>
      <c r="F139" s="15"/>
      <c r="G139" s="15"/>
      <c r="H139" s="15"/>
      <c r="I139" s="15"/>
      <c r="J139" s="15"/>
    </row>
    <row r="141" spans="1:14" s="2" customFormat="1" ht="18.75" customHeight="1" x14ac:dyDescent="0.3">
      <c r="A141" s="1"/>
      <c r="B141" s="1"/>
      <c r="L141" s="3"/>
      <c r="M141" s="1"/>
      <c r="N141" s="1"/>
    </row>
    <row r="142" spans="1:14" s="2" customFormat="1" ht="18.75" customHeight="1" x14ac:dyDescent="0.3">
      <c r="A142" s="1"/>
      <c r="B142" s="1"/>
      <c r="L142" s="3"/>
      <c r="M142" s="1"/>
      <c r="N142" s="1"/>
    </row>
    <row r="143" spans="1:14" s="2" customFormat="1" ht="18.75" customHeight="1" x14ac:dyDescent="0.3">
      <c r="A143" s="1"/>
      <c r="B143" s="1"/>
      <c r="L143" s="3"/>
      <c r="M143" s="1"/>
      <c r="N143" s="1"/>
    </row>
    <row r="144" spans="1:14" s="2" customFormat="1" ht="18.75" customHeight="1" x14ac:dyDescent="0.3">
      <c r="A144" s="1"/>
      <c r="B144" s="1"/>
      <c r="L144" s="3"/>
      <c r="M144" s="1"/>
      <c r="N144" s="1"/>
    </row>
    <row r="145" spans="1:14" s="2" customFormat="1" ht="18.75" customHeight="1" x14ac:dyDescent="0.3">
      <c r="A145" s="1"/>
      <c r="B145" s="1"/>
      <c r="L145" s="3"/>
      <c r="M145" s="1"/>
      <c r="N145" s="1"/>
    </row>
    <row r="146" spans="1:14" s="2" customFormat="1" ht="18.75" customHeight="1" x14ac:dyDescent="0.3">
      <c r="A146" s="1"/>
      <c r="B146" s="1"/>
      <c r="L146" s="3"/>
      <c r="M146" s="1"/>
      <c r="N146" s="1"/>
    </row>
    <row r="147" spans="1:14" s="2" customFormat="1" ht="18.75" customHeight="1" x14ac:dyDescent="0.3">
      <c r="A147" s="1"/>
      <c r="B147" s="1"/>
      <c r="L147" s="3"/>
      <c r="M147" s="1"/>
      <c r="N147" s="1"/>
    </row>
    <row r="148" spans="1:14" s="2" customFormat="1" ht="18.75" customHeight="1" x14ac:dyDescent="0.3">
      <c r="A148" s="1"/>
      <c r="B148" s="1"/>
      <c r="L148" s="3"/>
      <c r="M148" s="1"/>
      <c r="N148" s="1"/>
    </row>
    <row r="149" spans="1:14" s="2" customFormat="1" ht="18.75" customHeight="1" x14ac:dyDescent="0.3">
      <c r="A149" s="1"/>
      <c r="B149" s="1"/>
      <c r="L149" s="3"/>
      <c r="M149" s="1"/>
      <c r="N149" s="1"/>
    </row>
    <row r="150" spans="1:14" s="2" customFormat="1" ht="18.75" customHeight="1" x14ac:dyDescent="0.3">
      <c r="A150" s="1"/>
      <c r="B150" s="1"/>
      <c r="L150" s="3"/>
      <c r="M150" s="1"/>
      <c r="N150" s="1"/>
    </row>
    <row r="151" spans="1:14" s="2" customFormat="1" ht="18.75" customHeight="1" x14ac:dyDescent="0.3">
      <c r="A151" s="1"/>
      <c r="B151" s="1"/>
      <c r="L151" s="3"/>
      <c r="M151" s="1"/>
      <c r="N151" s="1"/>
    </row>
    <row r="152" spans="1:14" s="2" customFormat="1" ht="18.75" customHeight="1" x14ac:dyDescent="0.3">
      <c r="A152" s="1"/>
      <c r="B152" s="1"/>
      <c r="L152" s="3"/>
      <c r="M152" s="1"/>
      <c r="N152" s="1"/>
    </row>
    <row r="153" spans="1:14" s="2" customFormat="1" ht="18.75" customHeight="1" x14ac:dyDescent="0.3">
      <c r="A153" s="1"/>
      <c r="B153" s="1"/>
      <c r="L153" s="3"/>
      <c r="M153" s="1"/>
      <c r="N153" s="1"/>
    </row>
    <row r="154" spans="1:14" s="2" customFormat="1" ht="18.75" customHeight="1" x14ac:dyDescent="0.3">
      <c r="A154" s="1"/>
      <c r="B154" s="1"/>
      <c r="L154" s="3"/>
      <c r="M154" s="1"/>
      <c r="N154" s="1"/>
    </row>
    <row r="155" spans="1:14" s="2" customFormat="1" ht="18.75" customHeight="1" x14ac:dyDescent="0.3">
      <c r="A155" s="1"/>
      <c r="B155" s="1"/>
      <c r="L155" s="3"/>
      <c r="M155" s="1"/>
      <c r="N155" s="1"/>
    </row>
    <row r="156" spans="1:14" s="2" customFormat="1" ht="18.75" customHeight="1" x14ac:dyDescent="0.3">
      <c r="A156" s="1"/>
      <c r="B156" s="1"/>
      <c r="L156" s="3"/>
      <c r="M156" s="1"/>
      <c r="N156" s="1"/>
    </row>
    <row r="157" spans="1:14" s="2" customFormat="1" ht="18.75" customHeight="1" x14ac:dyDescent="0.3">
      <c r="A157" s="1"/>
      <c r="B157" s="1"/>
      <c r="L157" s="3"/>
      <c r="M157" s="1"/>
      <c r="N157" s="1"/>
    </row>
    <row r="158" spans="1:14" s="2" customFormat="1" ht="18.75" customHeight="1" x14ac:dyDescent="0.3">
      <c r="A158" s="1"/>
      <c r="B158" s="1"/>
      <c r="L158" s="3"/>
      <c r="M158" s="1"/>
      <c r="N158" s="1"/>
    </row>
    <row r="159" spans="1:14" s="2" customFormat="1" ht="18.75" customHeight="1" x14ac:dyDescent="0.3">
      <c r="A159" s="1"/>
      <c r="B159" s="1"/>
      <c r="L159" s="3"/>
      <c r="M159" s="1"/>
      <c r="N159" s="1"/>
    </row>
    <row r="160" spans="1:14" s="2" customFormat="1" ht="18.75" customHeight="1" x14ac:dyDescent="0.3">
      <c r="A160" s="1"/>
      <c r="B160" s="1"/>
      <c r="L160" s="3"/>
      <c r="M160" s="1"/>
      <c r="N160" s="1"/>
    </row>
    <row r="161" spans="1:14" s="2" customFormat="1" ht="18.75" customHeight="1" x14ac:dyDescent="0.3">
      <c r="A161" s="1"/>
      <c r="B161" s="1"/>
      <c r="L161" s="3"/>
      <c r="M161" s="1"/>
      <c r="N161" s="1"/>
    </row>
    <row r="162" spans="1:14" s="2" customFormat="1" ht="18.75" customHeight="1" x14ac:dyDescent="0.3">
      <c r="A162" s="1"/>
      <c r="B162" s="1"/>
      <c r="L162" s="3"/>
      <c r="M162" s="1"/>
      <c r="N162" s="1"/>
    </row>
    <row r="163" spans="1:14" s="2" customFormat="1" ht="18.75" customHeight="1" x14ac:dyDescent="0.3">
      <c r="A163" s="1"/>
      <c r="B163" s="1"/>
      <c r="L163" s="3"/>
      <c r="M163" s="1"/>
      <c r="N163" s="1"/>
    </row>
    <row r="164" spans="1:14" s="2" customFormat="1" ht="18.75" customHeight="1" x14ac:dyDescent="0.3">
      <c r="A164" s="1"/>
      <c r="B164" s="1"/>
      <c r="L164" s="3"/>
      <c r="M164" s="1"/>
      <c r="N164" s="1"/>
    </row>
    <row r="165" spans="1:14" s="2" customFormat="1" ht="18.75" customHeight="1" x14ac:dyDescent="0.3">
      <c r="A165" s="1"/>
      <c r="B165" s="1"/>
      <c r="L165" s="3"/>
      <c r="M165" s="1"/>
      <c r="N165" s="1"/>
    </row>
    <row r="166" spans="1:14" s="2" customFormat="1" ht="18.75" customHeight="1" x14ac:dyDescent="0.3">
      <c r="A166" s="1"/>
      <c r="B166" s="1"/>
      <c r="L166" s="3"/>
      <c r="M166" s="1"/>
      <c r="N166" s="1"/>
    </row>
    <row r="167" spans="1:14" s="2" customFormat="1" ht="18.75" customHeight="1" x14ac:dyDescent="0.3">
      <c r="A167" s="1"/>
      <c r="B167" s="1"/>
      <c r="L167" s="3"/>
      <c r="M167" s="1"/>
      <c r="N167" s="1"/>
    </row>
    <row r="168" spans="1:14" s="2" customFormat="1" ht="18.75" customHeight="1" x14ac:dyDescent="0.3">
      <c r="A168" s="1"/>
      <c r="B168" s="1"/>
      <c r="L168" s="3"/>
      <c r="M168" s="1"/>
      <c r="N168" s="1"/>
    </row>
    <row r="169" spans="1:14" s="2" customFormat="1" ht="18.75" customHeight="1" x14ac:dyDescent="0.3">
      <c r="A169" s="1"/>
      <c r="B169" s="1"/>
      <c r="L169" s="3"/>
      <c r="M169" s="1"/>
      <c r="N169" s="1"/>
    </row>
    <row r="170" spans="1:14" s="2" customFormat="1" ht="18.75" customHeight="1" x14ac:dyDescent="0.3">
      <c r="A170" s="1"/>
      <c r="B170" s="1"/>
      <c r="L170" s="3"/>
      <c r="M170" s="1"/>
      <c r="N170" s="1"/>
    </row>
    <row r="171" spans="1:14" s="2" customFormat="1" ht="18.75" customHeight="1" x14ac:dyDescent="0.3">
      <c r="A171" s="1"/>
      <c r="B171" s="1"/>
      <c r="L171" s="3"/>
      <c r="M171" s="1"/>
      <c r="N171" s="1"/>
    </row>
    <row r="172" spans="1:14" s="2" customFormat="1" ht="18.75" customHeight="1" x14ac:dyDescent="0.3">
      <c r="A172" s="1"/>
      <c r="B172" s="1"/>
      <c r="L172" s="3"/>
      <c r="M172" s="1"/>
      <c r="N172" s="1"/>
    </row>
    <row r="173" spans="1:14" s="2" customFormat="1" ht="18.75" customHeight="1" x14ac:dyDescent="0.3">
      <c r="A173" s="1"/>
      <c r="B173" s="1"/>
      <c r="L173" s="3"/>
      <c r="M173" s="1"/>
      <c r="N173" s="1"/>
    </row>
    <row r="174" spans="1:14" s="2" customFormat="1" ht="18.75" customHeight="1" x14ac:dyDescent="0.3">
      <c r="A174" s="1"/>
      <c r="B174" s="1"/>
      <c r="L174" s="3"/>
      <c r="M174" s="1"/>
      <c r="N174" s="1"/>
    </row>
    <row r="175" spans="1:14" s="2" customFormat="1" ht="18.75" customHeight="1" x14ac:dyDescent="0.3">
      <c r="A175" s="1"/>
      <c r="B175" s="1"/>
      <c r="L175" s="3"/>
      <c r="M175" s="1"/>
      <c r="N175" s="1"/>
    </row>
    <row r="176" spans="1:14" s="2" customFormat="1" ht="18.75" customHeight="1" x14ac:dyDescent="0.3">
      <c r="A176" s="1"/>
      <c r="B176" s="1"/>
      <c r="L176" s="3"/>
      <c r="M176" s="1"/>
      <c r="N176" s="1"/>
    </row>
    <row r="177" spans="1:14" s="2" customFormat="1" ht="18.75" customHeight="1" x14ac:dyDescent="0.3">
      <c r="A177" s="1"/>
      <c r="B177" s="1"/>
      <c r="L177" s="3"/>
      <c r="M177" s="1"/>
      <c r="N177" s="1"/>
    </row>
    <row r="178" spans="1:14" s="2" customFormat="1" ht="18.75" customHeight="1" x14ac:dyDescent="0.3">
      <c r="A178" s="1"/>
      <c r="B178" s="1"/>
      <c r="L178" s="3"/>
      <c r="M178" s="1"/>
      <c r="N178" s="1"/>
    </row>
    <row r="179" spans="1:14" s="2" customFormat="1" ht="18.75" customHeight="1" x14ac:dyDescent="0.3">
      <c r="A179" s="1"/>
      <c r="B179" s="1"/>
      <c r="L179" s="3"/>
      <c r="M179" s="1"/>
      <c r="N179" s="1"/>
    </row>
    <row r="180" spans="1:14" s="2" customFormat="1" ht="18.75" customHeight="1" x14ac:dyDescent="0.3">
      <c r="A180" s="1"/>
      <c r="B180" s="1"/>
      <c r="L180" s="3"/>
      <c r="M180" s="1"/>
      <c r="N180" s="1"/>
    </row>
    <row r="181" spans="1:14" s="2" customFormat="1" ht="18.75" customHeight="1" x14ac:dyDescent="0.3">
      <c r="A181" s="1"/>
      <c r="B181" s="1"/>
      <c r="L181" s="3"/>
      <c r="M181" s="1"/>
      <c r="N181" s="1"/>
    </row>
    <row r="182" spans="1:14" s="2" customFormat="1" ht="18.75" customHeight="1" x14ac:dyDescent="0.3">
      <c r="A182" s="1"/>
      <c r="B182" s="1"/>
      <c r="L182" s="3"/>
      <c r="M182" s="1"/>
      <c r="N182" s="1"/>
    </row>
    <row r="183" spans="1:14" s="2" customFormat="1" ht="18.75" customHeight="1" x14ac:dyDescent="0.3">
      <c r="A183" s="1"/>
      <c r="B183" s="1"/>
      <c r="L183" s="3"/>
      <c r="M183" s="1"/>
      <c r="N183" s="1"/>
    </row>
    <row r="184" spans="1:14" s="2" customFormat="1" ht="18.75" customHeight="1" x14ac:dyDescent="0.3">
      <c r="A184" s="1"/>
      <c r="B184" s="1"/>
      <c r="L184" s="3"/>
      <c r="M184" s="1"/>
      <c r="N184" s="1"/>
    </row>
    <row r="185" spans="1:14" s="2" customFormat="1" ht="18.75" customHeight="1" x14ac:dyDescent="0.3">
      <c r="A185" s="1"/>
      <c r="B185" s="1"/>
      <c r="L185" s="3"/>
      <c r="M185" s="1"/>
      <c r="N185" s="1"/>
    </row>
    <row r="186" spans="1:14" s="2" customFormat="1" ht="18.75" customHeight="1" x14ac:dyDescent="0.3">
      <c r="A186" s="1"/>
      <c r="B186" s="1"/>
      <c r="L186" s="3"/>
      <c r="M186" s="1"/>
      <c r="N186" s="1"/>
    </row>
    <row r="187" spans="1:14" s="2" customFormat="1" ht="18.75" customHeight="1" x14ac:dyDescent="0.3">
      <c r="A187" s="1"/>
      <c r="B187" s="1"/>
      <c r="L187" s="3"/>
      <c r="M187" s="1"/>
      <c r="N187" s="1"/>
    </row>
    <row r="188" spans="1:14" s="2" customFormat="1" ht="18.75" customHeight="1" x14ac:dyDescent="0.3">
      <c r="A188" s="1"/>
      <c r="B188" s="1"/>
      <c r="L188" s="3"/>
      <c r="M188" s="1"/>
      <c r="N188" s="1"/>
    </row>
    <row r="189" spans="1:14" s="2" customFormat="1" ht="18.75" customHeight="1" x14ac:dyDescent="0.3">
      <c r="A189" s="1"/>
      <c r="B189" s="1"/>
      <c r="L189" s="3"/>
      <c r="M189" s="1"/>
      <c r="N189" s="1"/>
    </row>
    <row r="190" spans="1:14" s="2" customFormat="1" ht="18.75" customHeight="1" x14ac:dyDescent="0.3">
      <c r="A190" s="1"/>
      <c r="B190" s="1"/>
      <c r="L190" s="3"/>
      <c r="M190" s="1"/>
      <c r="N190" s="1"/>
    </row>
    <row r="191" spans="1:14" s="2" customFormat="1" ht="18.75" customHeight="1" x14ac:dyDescent="0.3">
      <c r="A191" s="1"/>
      <c r="B191" s="1"/>
      <c r="L191" s="3"/>
      <c r="M191" s="1"/>
      <c r="N191" s="1"/>
    </row>
    <row r="192" spans="1:14" s="2" customFormat="1" ht="18.75" customHeight="1" x14ac:dyDescent="0.3">
      <c r="A192" s="1"/>
      <c r="B192" s="1"/>
      <c r="L192" s="3"/>
      <c r="M192" s="1"/>
      <c r="N192" s="1"/>
    </row>
    <row r="193" spans="1:14" s="2" customFormat="1" ht="18.75" customHeight="1" x14ac:dyDescent="0.3">
      <c r="A193" s="1"/>
      <c r="B193" s="1"/>
      <c r="L193" s="3"/>
      <c r="M193" s="1"/>
      <c r="N193" s="1"/>
    </row>
    <row r="194" spans="1:14" s="2" customFormat="1" ht="18.75" customHeight="1" x14ac:dyDescent="0.3">
      <c r="A194" s="1"/>
      <c r="B194" s="1"/>
      <c r="L194" s="3"/>
      <c r="M194" s="1"/>
      <c r="N194" s="1"/>
    </row>
    <row r="195" spans="1:14" s="2" customFormat="1" ht="18.75" customHeight="1" x14ac:dyDescent="0.3">
      <c r="A195" s="1"/>
      <c r="B195" s="1"/>
      <c r="L195" s="3"/>
      <c r="M195" s="1"/>
      <c r="N195" s="1"/>
    </row>
    <row r="196" spans="1:14" s="2" customFormat="1" ht="18.75" customHeight="1" x14ac:dyDescent="0.3">
      <c r="A196" s="1"/>
      <c r="B196" s="1"/>
      <c r="L196" s="3"/>
      <c r="M196" s="1"/>
      <c r="N196" s="1"/>
    </row>
    <row r="197" spans="1:14" s="2" customFormat="1" ht="18.75" customHeight="1" x14ac:dyDescent="0.3">
      <c r="A197" s="1"/>
      <c r="B197" s="1"/>
      <c r="L197" s="3"/>
      <c r="M197" s="1"/>
      <c r="N197" s="1"/>
    </row>
    <row r="198" spans="1:14" s="2" customFormat="1" ht="18.75" customHeight="1" x14ac:dyDescent="0.3">
      <c r="A198" s="1"/>
      <c r="B198" s="1"/>
      <c r="L198" s="3"/>
      <c r="M198" s="1"/>
      <c r="N198" s="1"/>
    </row>
    <row r="199" spans="1:14" s="2" customFormat="1" ht="18.75" customHeight="1" x14ac:dyDescent="0.3">
      <c r="A199" s="1"/>
      <c r="B199" s="1"/>
      <c r="L199" s="3"/>
      <c r="M199" s="1"/>
      <c r="N199" s="1"/>
    </row>
    <row r="200" spans="1:14" s="2" customFormat="1" ht="18.75" customHeight="1" x14ac:dyDescent="0.3">
      <c r="A200" s="1"/>
      <c r="B200" s="1"/>
      <c r="L200" s="3"/>
      <c r="M200" s="1"/>
      <c r="N200" s="1"/>
    </row>
    <row r="201" spans="1:14" s="2" customFormat="1" ht="18.75" customHeight="1" x14ac:dyDescent="0.3">
      <c r="A201" s="1"/>
      <c r="B201" s="1"/>
      <c r="L201" s="3"/>
      <c r="M201" s="1"/>
      <c r="N201" s="1"/>
    </row>
    <row r="202" spans="1:14" s="2" customFormat="1" ht="18.75" customHeight="1" x14ac:dyDescent="0.3">
      <c r="A202" s="1"/>
      <c r="B202" s="1"/>
      <c r="L202" s="3"/>
      <c r="M202" s="1"/>
      <c r="N202" s="1"/>
    </row>
    <row r="203" spans="1:14" s="2" customFormat="1" ht="18.75" customHeight="1" x14ac:dyDescent="0.3">
      <c r="A203" s="1"/>
      <c r="B203" s="1"/>
      <c r="L203" s="3"/>
      <c r="M203" s="1"/>
      <c r="N203" s="1"/>
    </row>
    <row r="204" spans="1:14" s="2" customFormat="1" ht="18.75" customHeight="1" x14ac:dyDescent="0.3">
      <c r="A204" s="1"/>
      <c r="B204" s="1"/>
      <c r="L204" s="3"/>
      <c r="M204" s="1"/>
      <c r="N204" s="1"/>
    </row>
    <row r="205" spans="1:14" s="2" customFormat="1" ht="18.75" customHeight="1" x14ac:dyDescent="0.3">
      <c r="A205" s="1"/>
      <c r="B205" s="1"/>
      <c r="L205" s="3"/>
      <c r="M205" s="1"/>
      <c r="N205" s="1"/>
    </row>
    <row r="206" spans="1:14" s="2" customFormat="1" ht="18.75" customHeight="1" x14ac:dyDescent="0.3">
      <c r="A206" s="1"/>
      <c r="B206" s="1"/>
      <c r="L206" s="3"/>
      <c r="M206" s="1"/>
      <c r="N206" s="1"/>
    </row>
    <row r="207" spans="1:14" s="2" customFormat="1" ht="18.75" customHeight="1" x14ac:dyDescent="0.3">
      <c r="A207" s="1"/>
      <c r="B207" s="1"/>
      <c r="L207" s="3"/>
      <c r="M207" s="1"/>
      <c r="N207" s="1"/>
    </row>
    <row r="208" spans="1:14" s="2" customFormat="1" ht="18.75" customHeight="1" x14ac:dyDescent="0.3">
      <c r="A208" s="1"/>
      <c r="B208" s="1"/>
      <c r="L208" s="3"/>
      <c r="M208" s="1"/>
      <c r="N208" s="1"/>
    </row>
    <row r="209" spans="1:14" s="2" customFormat="1" ht="18.75" customHeight="1" x14ac:dyDescent="0.3">
      <c r="A209" s="1"/>
      <c r="B209" s="1"/>
      <c r="L209" s="3"/>
      <c r="M209" s="1"/>
      <c r="N209" s="1"/>
    </row>
    <row r="210" spans="1:14" s="2" customFormat="1" ht="18.75" customHeight="1" x14ac:dyDescent="0.3">
      <c r="A210" s="1"/>
      <c r="B210" s="1"/>
      <c r="L210" s="3"/>
      <c r="M210" s="1"/>
      <c r="N210" s="1"/>
    </row>
    <row r="211" spans="1:14" s="2" customFormat="1" ht="18.75" customHeight="1" x14ac:dyDescent="0.3">
      <c r="A211" s="1"/>
      <c r="B211" s="1"/>
      <c r="L211" s="3"/>
      <c r="M211" s="1"/>
      <c r="N211" s="1"/>
    </row>
    <row r="212" spans="1:14" s="2" customFormat="1" ht="18.75" customHeight="1" x14ac:dyDescent="0.3">
      <c r="A212" s="1"/>
      <c r="B212" s="1"/>
      <c r="L212" s="3"/>
      <c r="M212" s="1"/>
      <c r="N212" s="1"/>
    </row>
    <row r="213" spans="1:14" s="2" customFormat="1" ht="18.75" customHeight="1" x14ac:dyDescent="0.3">
      <c r="A213" s="1"/>
      <c r="B213" s="1"/>
      <c r="L213" s="3"/>
      <c r="M213" s="1"/>
      <c r="N213" s="1"/>
    </row>
    <row r="214" spans="1:14" s="2" customFormat="1" ht="18.75" customHeight="1" x14ac:dyDescent="0.3">
      <c r="A214" s="1"/>
      <c r="B214" s="1"/>
      <c r="L214" s="3"/>
      <c r="M214" s="1"/>
      <c r="N214" s="1"/>
    </row>
    <row r="215" spans="1:14" s="2" customFormat="1" ht="18.75" customHeight="1" x14ac:dyDescent="0.3">
      <c r="A215" s="1"/>
      <c r="B215" s="1"/>
      <c r="L215" s="3"/>
      <c r="M215" s="1"/>
      <c r="N215" s="1"/>
    </row>
    <row r="216" spans="1:14" s="2" customFormat="1" ht="18.75" customHeight="1" x14ac:dyDescent="0.3">
      <c r="A216" s="1"/>
      <c r="B216" s="1"/>
      <c r="L216" s="3"/>
      <c r="M216" s="1"/>
      <c r="N216" s="1"/>
    </row>
    <row r="217" spans="1:14" s="2" customFormat="1" ht="18.75" customHeight="1" x14ac:dyDescent="0.3">
      <c r="A217" s="1"/>
      <c r="B217" s="1"/>
      <c r="L217" s="3"/>
      <c r="M217" s="1"/>
      <c r="N217" s="1"/>
    </row>
    <row r="218" spans="1:14" s="2" customFormat="1" ht="18.75" customHeight="1" x14ac:dyDescent="0.3">
      <c r="A218" s="1"/>
      <c r="B218" s="1"/>
      <c r="L218" s="3"/>
      <c r="M218" s="1"/>
      <c r="N218" s="1"/>
    </row>
    <row r="219" spans="1:14" s="2" customFormat="1" ht="18.75" customHeight="1" x14ac:dyDescent="0.3">
      <c r="A219" s="1"/>
      <c r="B219" s="1"/>
      <c r="L219" s="3"/>
      <c r="M219" s="1"/>
      <c r="N219" s="1"/>
    </row>
    <row r="220" spans="1:14" s="2" customFormat="1" ht="18.75" customHeight="1" x14ac:dyDescent="0.3">
      <c r="A220" s="1"/>
      <c r="B220" s="1"/>
      <c r="L220" s="3"/>
      <c r="M220" s="1"/>
      <c r="N220" s="1"/>
    </row>
    <row r="221" spans="1:14" s="2" customFormat="1" ht="18.75" customHeight="1" x14ac:dyDescent="0.3">
      <c r="A221" s="1"/>
      <c r="B221" s="1"/>
      <c r="L221" s="3"/>
      <c r="M221" s="1"/>
      <c r="N221" s="1"/>
    </row>
    <row r="222" spans="1:14" s="2" customFormat="1" ht="18.75" customHeight="1" x14ac:dyDescent="0.3">
      <c r="A222" s="1"/>
      <c r="B222" s="1"/>
      <c r="L222" s="3"/>
      <c r="M222" s="1"/>
      <c r="N222" s="1"/>
    </row>
    <row r="223" spans="1:14" s="2" customFormat="1" ht="18.75" customHeight="1" x14ac:dyDescent="0.3">
      <c r="A223" s="1"/>
      <c r="B223" s="1"/>
      <c r="L223" s="3"/>
      <c r="M223" s="1"/>
      <c r="N223" s="1"/>
    </row>
    <row r="224" spans="1:14" s="2" customFormat="1" ht="18.75" customHeight="1" x14ac:dyDescent="0.3">
      <c r="A224" s="1"/>
      <c r="B224" s="1"/>
      <c r="L224" s="3"/>
      <c r="M224" s="1"/>
      <c r="N224" s="1"/>
    </row>
    <row r="225" spans="1:14" s="2" customFormat="1" ht="18.75" customHeight="1" x14ac:dyDescent="0.3">
      <c r="A225" s="1"/>
      <c r="B225" s="1"/>
      <c r="L225" s="3"/>
      <c r="M225" s="1"/>
      <c r="N225" s="1"/>
    </row>
    <row r="226" spans="1:14" s="2" customFormat="1" ht="18.75" customHeight="1" x14ac:dyDescent="0.3">
      <c r="A226" s="1"/>
      <c r="B226" s="1"/>
      <c r="L226" s="3"/>
      <c r="M226" s="1"/>
      <c r="N226" s="1"/>
    </row>
    <row r="227" spans="1:14" s="2" customFormat="1" ht="18.75" customHeight="1" x14ac:dyDescent="0.3">
      <c r="A227" s="1"/>
      <c r="B227" s="1"/>
      <c r="L227" s="3"/>
      <c r="M227" s="1"/>
      <c r="N227" s="1"/>
    </row>
    <row r="228" spans="1:14" s="2" customFormat="1" ht="18.75" customHeight="1" x14ac:dyDescent="0.3">
      <c r="A228" s="1"/>
      <c r="B228" s="1"/>
      <c r="L228" s="3"/>
      <c r="M228" s="1"/>
      <c r="N228" s="1"/>
    </row>
    <row r="229" spans="1:14" s="2" customFormat="1" ht="18.75" customHeight="1" x14ac:dyDescent="0.3">
      <c r="A229" s="1"/>
      <c r="B229" s="1"/>
      <c r="L229" s="3"/>
      <c r="M229" s="1"/>
      <c r="N229" s="1"/>
    </row>
    <row r="230" spans="1:14" s="2" customFormat="1" ht="18.75" customHeight="1" x14ac:dyDescent="0.3">
      <c r="A230" s="1"/>
      <c r="B230" s="1"/>
      <c r="L230" s="3"/>
      <c r="M230" s="1"/>
      <c r="N230" s="1"/>
    </row>
    <row r="231" spans="1:14" s="2" customFormat="1" ht="18.75" customHeight="1" x14ac:dyDescent="0.3">
      <c r="A231" s="1"/>
      <c r="B231" s="1"/>
      <c r="L231" s="3"/>
      <c r="M231" s="1"/>
      <c r="N231" s="1"/>
    </row>
    <row r="232" spans="1:14" s="2" customFormat="1" ht="18.75" customHeight="1" x14ac:dyDescent="0.3">
      <c r="A232" s="1"/>
      <c r="B232" s="1"/>
      <c r="L232" s="3"/>
      <c r="M232" s="1"/>
      <c r="N232" s="1"/>
    </row>
    <row r="233" spans="1:14" s="2" customFormat="1" ht="18.75" customHeight="1" x14ac:dyDescent="0.3">
      <c r="A233" s="1"/>
      <c r="B233" s="1"/>
      <c r="L233" s="3"/>
      <c r="M233" s="1"/>
      <c r="N233" s="1"/>
    </row>
    <row r="234" spans="1:14" s="2" customFormat="1" ht="18.75" customHeight="1" x14ac:dyDescent="0.3">
      <c r="A234" s="1"/>
      <c r="B234" s="1"/>
      <c r="L234" s="3"/>
      <c r="M234" s="1"/>
      <c r="N234" s="1"/>
    </row>
    <row r="235" spans="1:14" s="2" customFormat="1" ht="18.75" customHeight="1" x14ac:dyDescent="0.3">
      <c r="A235" s="1"/>
      <c r="B235" s="1"/>
      <c r="L235" s="3"/>
      <c r="M235" s="1"/>
      <c r="N235" s="1"/>
    </row>
    <row r="236" spans="1:14" s="2" customFormat="1" ht="18.75" customHeight="1" x14ac:dyDescent="0.3">
      <c r="A236" s="1"/>
      <c r="B236" s="1"/>
      <c r="L236" s="3"/>
      <c r="M236" s="1"/>
      <c r="N236" s="1"/>
    </row>
    <row r="237" spans="1:14" s="2" customFormat="1" ht="18.75" customHeight="1" x14ac:dyDescent="0.3">
      <c r="A237" s="1"/>
      <c r="B237" s="1"/>
      <c r="L237" s="3"/>
      <c r="M237" s="1"/>
      <c r="N237" s="1"/>
    </row>
    <row r="238" spans="1:14" s="2" customFormat="1" ht="18.75" customHeight="1" x14ac:dyDescent="0.3">
      <c r="A238" s="1"/>
      <c r="B238" s="1"/>
      <c r="L238" s="3"/>
      <c r="M238" s="1"/>
      <c r="N238" s="1"/>
    </row>
    <row r="239" spans="1:14" s="2" customFormat="1" ht="18.75" customHeight="1" x14ac:dyDescent="0.3">
      <c r="A239" s="1"/>
      <c r="B239" s="1"/>
      <c r="L239" s="3"/>
      <c r="M239" s="1"/>
      <c r="N239" s="1"/>
    </row>
    <row r="240" spans="1:14" s="2" customFormat="1" ht="18.75" customHeight="1" x14ac:dyDescent="0.3">
      <c r="A240" s="1"/>
      <c r="B240" s="1"/>
      <c r="L240" s="3"/>
      <c r="M240" s="1"/>
      <c r="N240" s="1"/>
    </row>
    <row r="241" spans="1:14" s="2" customFormat="1" ht="18.75" customHeight="1" x14ac:dyDescent="0.3">
      <c r="A241" s="1"/>
      <c r="B241" s="1"/>
      <c r="L241" s="3"/>
      <c r="M241" s="1"/>
      <c r="N241" s="1"/>
    </row>
    <row r="242" spans="1:14" s="2" customFormat="1" ht="18.75" customHeight="1" x14ac:dyDescent="0.3">
      <c r="A242" s="1"/>
      <c r="B242" s="1"/>
      <c r="L242" s="3"/>
      <c r="M242" s="1"/>
      <c r="N242" s="1"/>
    </row>
    <row r="243" spans="1:14" s="2" customFormat="1" ht="18.75" customHeight="1" x14ac:dyDescent="0.3">
      <c r="A243" s="1"/>
      <c r="B243" s="1"/>
      <c r="L243" s="3"/>
      <c r="M243" s="1"/>
      <c r="N243" s="1"/>
    </row>
    <row r="244" spans="1:14" s="2" customFormat="1" ht="18.75" customHeight="1" x14ac:dyDescent="0.3">
      <c r="A244" s="1"/>
      <c r="B244" s="1"/>
      <c r="L244" s="3"/>
      <c r="M244" s="1"/>
      <c r="N244" s="1"/>
    </row>
    <row r="245" spans="1:14" s="2" customFormat="1" ht="18.75" customHeight="1" x14ac:dyDescent="0.3">
      <c r="A245" s="1"/>
      <c r="B245" s="1"/>
      <c r="L245" s="3"/>
      <c r="M245" s="1"/>
      <c r="N245" s="1"/>
    </row>
    <row r="246" spans="1:14" s="2" customFormat="1" ht="18.75" customHeight="1" x14ac:dyDescent="0.3">
      <c r="A246" s="1"/>
      <c r="B246" s="1"/>
      <c r="L246" s="3"/>
      <c r="M246" s="1"/>
      <c r="N246" s="1"/>
    </row>
    <row r="247" spans="1:14" s="2" customFormat="1" ht="18.75" customHeight="1" x14ac:dyDescent="0.3">
      <c r="A247" s="1"/>
      <c r="B247" s="1"/>
      <c r="L247" s="3"/>
      <c r="M247" s="1"/>
      <c r="N247" s="1"/>
    </row>
    <row r="248" spans="1:14" s="2" customFormat="1" ht="18.75" customHeight="1" x14ac:dyDescent="0.3">
      <c r="A248" s="1"/>
      <c r="B248" s="1"/>
      <c r="L248" s="3"/>
      <c r="M248" s="1"/>
      <c r="N248" s="1"/>
    </row>
    <row r="249" spans="1:14" s="2" customFormat="1" ht="18.75" customHeight="1" x14ac:dyDescent="0.3">
      <c r="A249" s="1"/>
      <c r="B249" s="1"/>
      <c r="L249" s="3"/>
      <c r="M249" s="1"/>
      <c r="N249" s="1"/>
    </row>
    <row r="250" spans="1:14" s="2" customFormat="1" ht="18.75" customHeight="1" x14ac:dyDescent="0.3">
      <c r="A250" s="1"/>
      <c r="B250" s="1"/>
      <c r="L250" s="3"/>
      <c r="M250" s="1"/>
      <c r="N250" s="1"/>
    </row>
    <row r="251" spans="1:14" s="2" customFormat="1" ht="18.75" customHeight="1" x14ac:dyDescent="0.3">
      <c r="A251" s="1"/>
      <c r="B251" s="1"/>
      <c r="L251" s="3"/>
      <c r="M251" s="1"/>
      <c r="N251" s="1"/>
    </row>
    <row r="252" spans="1:14" s="2" customFormat="1" ht="18.75" customHeight="1" x14ac:dyDescent="0.3">
      <c r="A252" s="1"/>
      <c r="B252" s="1"/>
      <c r="L252" s="3"/>
      <c r="M252" s="1"/>
      <c r="N252" s="1"/>
    </row>
    <row r="253" spans="1:14" s="2" customFormat="1" ht="18.75" customHeight="1" x14ac:dyDescent="0.3">
      <c r="A253" s="1"/>
      <c r="B253" s="1"/>
      <c r="L253" s="3"/>
      <c r="M253" s="1"/>
      <c r="N253" s="1"/>
    </row>
    <row r="254" spans="1:14" s="2" customFormat="1" ht="18.75" customHeight="1" x14ac:dyDescent="0.3">
      <c r="A254" s="1"/>
      <c r="B254" s="1"/>
      <c r="L254" s="3"/>
      <c r="M254" s="1"/>
      <c r="N254" s="1"/>
    </row>
    <row r="255" spans="1:14" s="2" customFormat="1" ht="18.75" customHeight="1" x14ac:dyDescent="0.3">
      <c r="A255" s="1"/>
      <c r="B255" s="1"/>
      <c r="L255" s="3"/>
      <c r="M255" s="1"/>
      <c r="N255" s="1"/>
    </row>
    <row r="256" spans="1:14" s="2" customFormat="1" ht="18.75" customHeight="1" x14ac:dyDescent="0.3">
      <c r="A256" s="1"/>
      <c r="B256" s="1"/>
      <c r="L256" s="3"/>
      <c r="M256" s="1"/>
      <c r="N256" s="1"/>
    </row>
    <row r="257" spans="1:14" s="2" customFormat="1" ht="18.75" customHeight="1" x14ac:dyDescent="0.3">
      <c r="A257" s="1"/>
      <c r="B257" s="1"/>
      <c r="L257" s="3"/>
      <c r="M257" s="1"/>
      <c r="N257" s="1"/>
    </row>
    <row r="258" spans="1:14" s="2" customFormat="1" ht="18.75" customHeight="1" x14ac:dyDescent="0.3">
      <c r="A258" s="1"/>
      <c r="B258" s="1"/>
      <c r="L258" s="3"/>
      <c r="M258" s="1"/>
      <c r="N258" s="1"/>
    </row>
    <row r="259" spans="1:14" s="2" customFormat="1" ht="18.75" customHeight="1" x14ac:dyDescent="0.3">
      <c r="A259" s="1"/>
      <c r="B259" s="1"/>
      <c r="L259" s="3"/>
      <c r="M259" s="1"/>
      <c r="N259" s="1"/>
    </row>
    <row r="260" spans="1:14" s="2" customFormat="1" ht="18.75" customHeight="1" x14ac:dyDescent="0.3">
      <c r="A260" s="1"/>
      <c r="B260" s="1"/>
      <c r="L260" s="3"/>
      <c r="M260" s="1"/>
      <c r="N260" s="1"/>
    </row>
    <row r="261" spans="1:14" s="2" customFormat="1" ht="18.75" customHeight="1" x14ac:dyDescent="0.3">
      <c r="A261" s="1"/>
      <c r="B261" s="1"/>
      <c r="L261" s="3"/>
      <c r="M261" s="1"/>
      <c r="N261" s="1"/>
    </row>
    <row r="262" spans="1:14" s="2" customFormat="1" ht="18.75" customHeight="1" x14ac:dyDescent="0.3">
      <c r="A262" s="1"/>
      <c r="B262" s="1"/>
      <c r="L262" s="3"/>
      <c r="M262" s="1"/>
      <c r="N262" s="1"/>
    </row>
    <row r="263" spans="1:14" s="2" customFormat="1" ht="18.75" customHeight="1" x14ac:dyDescent="0.3">
      <c r="A263" s="1"/>
      <c r="B263" s="1"/>
      <c r="L263" s="3"/>
      <c r="M263" s="1"/>
      <c r="N263" s="1"/>
    </row>
    <row r="264" spans="1:14" s="2" customFormat="1" ht="18.75" customHeight="1" x14ac:dyDescent="0.3">
      <c r="A264" s="1"/>
      <c r="B264" s="1"/>
      <c r="L264" s="3"/>
      <c r="M264" s="1"/>
      <c r="N264" s="1"/>
    </row>
    <row r="265" spans="1:14" s="2" customFormat="1" ht="18.75" customHeight="1" x14ac:dyDescent="0.3">
      <c r="A265" s="1"/>
      <c r="B265" s="1"/>
      <c r="L265" s="3"/>
      <c r="M265" s="1"/>
      <c r="N265" s="1"/>
    </row>
    <row r="266" spans="1:14" s="2" customFormat="1" ht="18.75" customHeight="1" x14ac:dyDescent="0.3">
      <c r="A266" s="1"/>
      <c r="B266" s="1"/>
      <c r="L266" s="3"/>
      <c r="M266" s="1"/>
      <c r="N266" s="1"/>
    </row>
    <row r="267" spans="1:14" s="2" customFormat="1" ht="18.75" customHeight="1" x14ac:dyDescent="0.3">
      <c r="A267" s="1"/>
      <c r="B267" s="1"/>
      <c r="L267" s="3"/>
      <c r="M267" s="1"/>
      <c r="N267" s="1"/>
    </row>
    <row r="268" spans="1:14" s="2" customFormat="1" ht="18.75" customHeight="1" x14ac:dyDescent="0.3">
      <c r="A268" s="1"/>
      <c r="B268" s="1"/>
      <c r="L268" s="3"/>
      <c r="M268" s="1"/>
      <c r="N268" s="1"/>
    </row>
    <row r="269" spans="1:14" s="2" customFormat="1" ht="18.75" customHeight="1" x14ac:dyDescent="0.3">
      <c r="A269" s="1"/>
      <c r="B269" s="1"/>
      <c r="L269" s="3"/>
      <c r="M269" s="1"/>
      <c r="N269" s="1"/>
    </row>
    <row r="270" spans="1:14" s="2" customFormat="1" ht="18.75" customHeight="1" x14ac:dyDescent="0.3">
      <c r="A270" s="1"/>
      <c r="B270" s="1"/>
      <c r="L270" s="3"/>
      <c r="M270" s="1"/>
      <c r="N270" s="1"/>
    </row>
    <row r="271" spans="1:14" s="2" customFormat="1" ht="18.75" customHeight="1" x14ac:dyDescent="0.3">
      <c r="A271" s="1"/>
      <c r="B271" s="1"/>
      <c r="L271" s="3"/>
      <c r="M271" s="1"/>
      <c r="N271" s="1"/>
    </row>
    <row r="272" spans="1:14" s="2" customFormat="1" ht="18.75" customHeight="1" x14ac:dyDescent="0.3">
      <c r="A272" s="1"/>
      <c r="B272" s="1"/>
      <c r="L272" s="3"/>
      <c r="M272" s="1"/>
      <c r="N272" s="1"/>
    </row>
    <row r="273" spans="1:14" s="2" customFormat="1" ht="18.75" customHeight="1" x14ac:dyDescent="0.3">
      <c r="A273" s="1"/>
      <c r="B273" s="1"/>
      <c r="L273" s="3"/>
      <c r="M273" s="1"/>
      <c r="N273" s="1"/>
    </row>
    <row r="274" spans="1:14" s="2" customFormat="1" ht="18.75" customHeight="1" x14ac:dyDescent="0.3">
      <c r="A274" s="1"/>
      <c r="B274" s="1"/>
      <c r="L274" s="3"/>
      <c r="M274" s="1"/>
      <c r="N274" s="1"/>
    </row>
    <row r="275" spans="1:14" s="2" customFormat="1" ht="18.75" customHeight="1" x14ac:dyDescent="0.3">
      <c r="A275" s="1"/>
      <c r="B275" s="1"/>
      <c r="L275" s="3"/>
      <c r="M275" s="1"/>
      <c r="N275" s="1"/>
    </row>
    <row r="276" spans="1:14" s="2" customFormat="1" ht="18.75" customHeight="1" x14ac:dyDescent="0.3">
      <c r="A276" s="1"/>
      <c r="B276" s="1"/>
      <c r="L276" s="3"/>
      <c r="M276" s="1"/>
      <c r="N276" s="1"/>
    </row>
    <row r="277" spans="1:14" s="2" customFormat="1" ht="18.75" customHeight="1" x14ac:dyDescent="0.3">
      <c r="A277" s="1"/>
      <c r="B277" s="1"/>
      <c r="L277" s="3"/>
      <c r="M277" s="1"/>
      <c r="N277" s="1"/>
    </row>
    <row r="278" spans="1:14" s="2" customFormat="1" ht="18.75" customHeight="1" x14ac:dyDescent="0.3">
      <c r="A278" s="1"/>
      <c r="B278" s="1"/>
      <c r="L278" s="3"/>
      <c r="M278" s="1"/>
      <c r="N278" s="1"/>
    </row>
    <row r="279" spans="1:14" s="2" customFormat="1" ht="18.75" customHeight="1" x14ac:dyDescent="0.3">
      <c r="A279" s="1"/>
      <c r="B279" s="1"/>
      <c r="L279" s="3"/>
      <c r="M279" s="1"/>
      <c r="N279" s="1"/>
    </row>
    <row r="280" spans="1:14" s="2" customFormat="1" ht="18.75" customHeight="1" x14ac:dyDescent="0.3">
      <c r="A280" s="1"/>
      <c r="B280" s="1"/>
      <c r="L280" s="3"/>
      <c r="M280" s="1"/>
      <c r="N280" s="1"/>
    </row>
    <row r="281" spans="1:14" s="2" customFormat="1" ht="18.75" customHeight="1" x14ac:dyDescent="0.3">
      <c r="A281" s="1"/>
      <c r="B281" s="1"/>
      <c r="L281" s="3"/>
      <c r="M281" s="1"/>
      <c r="N281" s="1"/>
    </row>
    <row r="282" spans="1:14" s="2" customFormat="1" ht="18.75" customHeight="1" x14ac:dyDescent="0.3">
      <c r="A282" s="1"/>
      <c r="B282" s="1"/>
      <c r="L282" s="3"/>
      <c r="M282" s="1"/>
      <c r="N282" s="1"/>
    </row>
    <row r="283" spans="1:14" s="2" customFormat="1" ht="18.75" customHeight="1" x14ac:dyDescent="0.3">
      <c r="A283" s="1"/>
      <c r="B283" s="1"/>
      <c r="L283" s="3"/>
      <c r="M283" s="1"/>
      <c r="N283" s="1"/>
    </row>
    <row r="284" spans="1:14" s="2" customFormat="1" ht="18.75" customHeight="1" x14ac:dyDescent="0.3">
      <c r="A284" s="1"/>
      <c r="B284" s="1"/>
      <c r="L284" s="3"/>
      <c r="M284" s="1"/>
      <c r="N284" s="1"/>
    </row>
    <row r="285" spans="1:14" s="2" customFormat="1" ht="18.75" customHeight="1" x14ac:dyDescent="0.3">
      <c r="A285" s="1"/>
      <c r="B285" s="1"/>
      <c r="L285" s="3"/>
      <c r="M285" s="1"/>
      <c r="N285" s="1"/>
    </row>
    <row r="286" spans="1:14" s="2" customFormat="1" ht="18.75" customHeight="1" x14ac:dyDescent="0.3">
      <c r="A286" s="1"/>
      <c r="B286" s="1"/>
      <c r="L286" s="3"/>
      <c r="M286" s="1"/>
      <c r="N286" s="1"/>
    </row>
    <row r="287" spans="1:14" s="2" customFormat="1" ht="18.75" customHeight="1" x14ac:dyDescent="0.3">
      <c r="A287" s="1"/>
      <c r="B287" s="1"/>
      <c r="L287" s="3"/>
      <c r="M287" s="1"/>
      <c r="N287" s="1"/>
    </row>
    <row r="288" spans="1:14" s="2" customFormat="1" ht="18.75" customHeight="1" x14ac:dyDescent="0.3">
      <c r="A288" s="1"/>
      <c r="B288" s="1"/>
      <c r="L288" s="3"/>
      <c r="M288" s="1"/>
      <c r="N288" s="1"/>
    </row>
    <row r="289" spans="1:14" s="2" customFormat="1" ht="18.75" customHeight="1" x14ac:dyDescent="0.3">
      <c r="A289" s="1"/>
      <c r="B289" s="1"/>
      <c r="L289" s="3"/>
      <c r="M289" s="1"/>
      <c r="N289" s="1"/>
    </row>
    <row r="290" spans="1:14" s="2" customFormat="1" ht="18.75" customHeight="1" x14ac:dyDescent="0.3">
      <c r="A290" s="1"/>
      <c r="B290" s="1"/>
      <c r="L290" s="3"/>
      <c r="M290" s="1"/>
      <c r="N290" s="1"/>
    </row>
    <row r="291" spans="1:14" s="2" customFormat="1" ht="18.75" customHeight="1" x14ac:dyDescent="0.3">
      <c r="A291" s="1"/>
      <c r="B291" s="1"/>
      <c r="L291" s="3"/>
      <c r="M291" s="1"/>
      <c r="N291" s="1"/>
    </row>
    <row r="292" spans="1:14" s="2" customFormat="1" ht="18.75" customHeight="1" x14ac:dyDescent="0.3">
      <c r="A292" s="1"/>
      <c r="B292" s="1"/>
      <c r="L292" s="3"/>
      <c r="M292" s="1"/>
      <c r="N292" s="1"/>
    </row>
    <row r="293" spans="1:14" s="2" customFormat="1" ht="18.75" customHeight="1" x14ac:dyDescent="0.3">
      <c r="A293" s="1"/>
      <c r="B293" s="1"/>
      <c r="L293" s="3"/>
      <c r="M293" s="1"/>
      <c r="N293" s="1"/>
    </row>
    <row r="294" spans="1:14" s="2" customFormat="1" ht="18.75" customHeight="1" x14ac:dyDescent="0.3">
      <c r="A294" s="1"/>
      <c r="B294" s="1"/>
      <c r="L294" s="3"/>
      <c r="M294" s="1"/>
      <c r="N294" s="1"/>
    </row>
    <row r="295" spans="1:14" s="2" customFormat="1" ht="18.75" customHeight="1" x14ac:dyDescent="0.3">
      <c r="A295" s="1"/>
      <c r="B295" s="1"/>
      <c r="L295" s="3"/>
      <c r="M295" s="1"/>
      <c r="N295" s="1"/>
    </row>
    <row r="296" spans="1:14" s="2" customFormat="1" ht="18.75" customHeight="1" x14ac:dyDescent="0.3">
      <c r="A296" s="1"/>
      <c r="B296" s="1"/>
      <c r="L296" s="3"/>
      <c r="M296" s="1"/>
      <c r="N296" s="1"/>
    </row>
    <row r="297" spans="1:14" s="2" customFormat="1" ht="18.75" customHeight="1" x14ac:dyDescent="0.3">
      <c r="A297" s="1"/>
      <c r="B297" s="1"/>
      <c r="L297" s="3"/>
      <c r="M297" s="1"/>
      <c r="N297" s="1"/>
    </row>
    <row r="298" spans="1:14" s="2" customFormat="1" ht="18.75" customHeight="1" x14ac:dyDescent="0.3">
      <c r="A298" s="1"/>
      <c r="B298" s="1"/>
      <c r="L298" s="3"/>
      <c r="M298" s="1"/>
      <c r="N298" s="1"/>
    </row>
    <row r="299" spans="1:14" s="2" customFormat="1" ht="18.75" customHeight="1" x14ac:dyDescent="0.3">
      <c r="A299" s="1"/>
      <c r="B299" s="1"/>
      <c r="L299" s="3"/>
      <c r="M299" s="1"/>
      <c r="N299" s="1"/>
    </row>
    <row r="300" spans="1:14" s="2" customFormat="1" ht="18.75" customHeight="1" x14ac:dyDescent="0.3">
      <c r="A300" s="1"/>
      <c r="B300" s="1"/>
      <c r="L300" s="3"/>
      <c r="M300" s="1"/>
      <c r="N300" s="1"/>
    </row>
    <row r="301" spans="1:14" s="2" customFormat="1" ht="18.75" customHeight="1" x14ac:dyDescent="0.3">
      <c r="A301" s="1"/>
      <c r="B301" s="1"/>
      <c r="L301" s="3"/>
      <c r="M301" s="1"/>
      <c r="N301" s="1"/>
    </row>
    <row r="302" spans="1:14" s="2" customFormat="1" ht="18.75" customHeight="1" x14ac:dyDescent="0.3">
      <c r="A302" s="1"/>
      <c r="B302" s="1"/>
      <c r="L302" s="3"/>
      <c r="M302" s="1"/>
      <c r="N302" s="1"/>
    </row>
    <row r="303" spans="1:14" s="2" customFormat="1" ht="18.75" customHeight="1" x14ac:dyDescent="0.3">
      <c r="A303" s="1"/>
      <c r="B303" s="1"/>
      <c r="L303" s="3"/>
      <c r="M303" s="1"/>
      <c r="N303" s="1"/>
    </row>
    <row r="304" spans="1:14" s="2" customFormat="1" ht="18.75" customHeight="1" x14ac:dyDescent="0.3">
      <c r="A304" s="1"/>
      <c r="B304" s="1"/>
      <c r="L304" s="3"/>
      <c r="M304" s="1"/>
      <c r="N304" s="1"/>
    </row>
    <row r="305" spans="1:14" s="2" customFormat="1" ht="18.75" customHeight="1" x14ac:dyDescent="0.3">
      <c r="A305" s="1"/>
      <c r="B305" s="1"/>
      <c r="L305" s="3"/>
      <c r="M305" s="1"/>
      <c r="N305" s="1"/>
    </row>
    <row r="306" spans="1:14" s="2" customFormat="1" ht="18.75" customHeight="1" x14ac:dyDescent="0.3">
      <c r="A306" s="1"/>
      <c r="B306" s="1"/>
      <c r="L306" s="3"/>
      <c r="M306" s="1"/>
      <c r="N306" s="1"/>
    </row>
    <row r="307" spans="1:14" s="2" customFormat="1" ht="18.75" customHeight="1" x14ac:dyDescent="0.3">
      <c r="A307" s="1"/>
      <c r="B307" s="1"/>
      <c r="L307" s="3"/>
      <c r="M307" s="1"/>
      <c r="N307" s="1"/>
    </row>
    <row r="308" spans="1:14" s="2" customFormat="1" ht="18.75" customHeight="1" x14ac:dyDescent="0.3">
      <c r="A308" s="1"/>
      <c r="B308" s="1"/>
      <c r="L308" s="3"/>
      <c r="M308" s="1"/>
      <c r="N308" s="1"/>
    </row>
    <row r="309" spans="1:14" s="2" customFormat="1" ht="18.75" customHeight="1" x14ac:dyDescent="0.3">
      <c r="A309" s="1"/>
      <c r="B309" s="1"/>
      <c r="L309" s="3"/>
      <c r="M309" s="1"/>
      <c r="N309" s="1"/>
    </row>
    <row r="310" spans="1:14" s="2" customFormat="1" ht="18.75" customHeight="1" x14ac:dyDescent="0.3">
      <c r="A310" s="1"/>
      <c r="B310" s="1"/>
      <c r="L310" s="3"/>
      <c r="M310" s="1"/>
      <c r="N310" s="1"/>
    </row>
    <row r="311" spans="1:14" s="2" customFormat="1" ht="18.75" customHeight="1" x14ac:dyDescent="0.3">
      <c r="A311" s="1"/>
      <c r="B311" s="1"/>
      <c r="L311" s="3"/>
      <c r="M311" s="1"/>
      <c r="N311" s="1"/>
    </row>
    <row r="312" spans="1:14" s="2" customFormat="1" ht="18.75" customHeight="1" x14ac:dyDescent="0.3">
      <c r="A312" s="1"/>
      <c r="B312" s="1"/>
      <c r="L312" s="3"/>
      <c r="M312" s="1"/>
      <c r="N312" s="1"/>
    </row>
    <row r="313" spans="1:14" s="2" customFormat="1" ht="18.75" customHeight="1" x14ac:dyDescent="0.3">
      <c r="A313" s="1"/>
      <c r="B313" s="1"/>
      <c r="L313" s="3"/>
      <c r="M313" s="1"/>
      <c r="N313" s="1"/>
    </row>
    <row r="314" spans="1:14" s="2" customFormat="1" ht="18.75" customHeight="1" x14ac:dyDescent="0.3">
      <c r="A314" s="1"/>
      <c r="B314" s="1"/>
      <c r="L314" s="3"/>
      <c r="M314" s="1"/>
      <c r="N314" s="1"/>
    </row>
    <row r="315" spans="1:14" s="2" customFormat="1" ht="18.75" customHeight="1" x14ac:dyDescent="0.3">
      <c r="A315" s="1"/>
      <c r="B315" s="1"/>
      <c r="L315" s="3"/>
      <c r="M315" s="1"/>
      <c r="N315" s="1"/>
    </row>
    <row r="316" spans="1:14" s="2" customFormat="1" ht="18.75" customHeight="1" x14ac:dyDescent="0.3">
      <c r="A316" s="1"/>
      <c r="B316" s="1"/>
      <c r="L316" s="3"/>
      <c r="M316" s="1"/>
      <c r="N316" s="1"/>
    </row>
    <row r="317" spans="1:14" s="2" customFormat="1" ht="18.75" customHeight="1" x14ac:dyDescent="0.3">
      <c r="A317" s="1"/>
      <c r="B317" s="1"/>
      <c r="L317" s="3"/>
      <c r="M317" s="1"/>
      <c r="N317" s="1"/>
    </row>
    <row r="318" spans="1:14" s="2" customFormat="1" ht="18.75" customHeight="1" x14ac:dyDescent="0.3">
      <c r="A318" s="1"/>
      <c r="B318" s="1"/>
      <c r="L318" s="3"/>
      <c r="M318" s="1"/>
      <c r="N318" s="1"/>
    </row>
    <row r="319" spans="1:14" s="2" customFormat="1" ht="18.75" customHeight="1" x14ac:dyDescent="0.3">
      <c r="A319" s="1"/>
      <c r="B319" s="1"/>
      <c r="L319" s="3"/>
      <c r="M319" s="1"/>
      <c r="N319" s="1"/>
    </row>
    <row r="320" spans="1:14" s="2" customFormat="1" ht="18.75" customHeight="1" x14ac:dyDescent="0.3">
      <c r="A320" s="1"/>
      <c r="B320" s="1"/>
      <c r="L320" s="3"/>
      <c r="M320" s="1"/>
      <c r="N320" s="1"/>
    </row>
    <row r="321" spans="1:14" s="2" customFormat="1" ht="18.75" customHeight="1" x14ac:dyDescent="0.3">
      <c r="A321" s="1"/>
      <c r="B321" s="1"/>
      <c r="L321" s="3"/>
      <c r="M321" s="1"/>
      <c r="N321" s="1"/>
    </row>
    <row r="322" spans="1:14" s="2" customFormat="1" ht="18.75" customHeight="1" x14ac:dyDescent="0.3">
      <c r="A322" s="1"/>
      <c r="B322" s="1"/>
      <c r="L322" s="3"/>
      <c r="M322" s="1"/>
      <c r="N322" s="1"/>
    </row>
    <row r="323" spans="1:14" s="2" customFormat="1" ht="18.75" customHeight="1" x14ac:dyDescent="0.3">
      <c r="A323" s="1"/>
      <c r="B323" s="1"/>
      <c r="L323" s="3"/>
      <c r="M323" s="1"/>
      <c r="N323" s="1"/>
    </row>
    <row r="324" spans="1:14" s="2" customFormat="1" ht="18.75" customHeight="1" x14ac:dyDescent="0.3">
      <c r="A324" s="1"/>
      <c r="B324" s="1"/>
      <c r="L324" s="3"/>
      <c r="M324" s="1"/>
      <c r="N324" s="1"/>
    </row>
    <row r="325" spans="1:14" s="2" customFormat="1" ht="18.75" customHeight="1" x14ac:dyDescent="0.3">
      <c r="A325" s="1"/>
      <c r="B325" s="1"/>
      <c r="L325" s="3"/>
      <c r="M325" s="1"/>
      <c r="N325" s="1"/>
    </row>
    <row r="326" spans="1:14" s="2" customFormat="1" ht="18.75" customHeight="1" x14ac:dyDescent="0.3">
      <c r="A326" s="1"/>
      <c r="B326" s="1"/>
      <c r="L326" s="3"/>
      <c r="M326" s="1"/>
      <c r="N326" s="1"/>
    </row>
    <row r="327" spans="1:14" s="2" customFormat="1" ht="18.75" customHeight="1" x14ac:dyDescent="0.3">
      <c r="A327" s="1"/>
      <c r="B327" s="1"/>
      <c r="L327" s="3"/>
      <c r="M327" s="1"/>
      <c r="N327" s="1"/>
    </row>
    <row r="328" spans="1:14" s="2" customFormat="1" ht="18.75" customHeight="1" x14ac:dyDescent="0.3">
      <c r="A328" s="1"/>
      <c r="B328" s="1"/>
      <c r="L328" s="3"/>
      <c r="M328" s="1"/>
      <c r="N328" s="1"/>
    </row>
    <row r="329" spans="1:14" s="2" customFormat="1" ht="18.75" customHeight="1" x14ac:dyDescent="0.3">
      <c r="A329" s="1"/>
      <c r="B329" s="1"/>
      <c r="L329" s="3"/>
      <c r="M329" s="1"/>
      <c r="N329" s="1"/>
    </row>
    <row r="330" spans="1:14" s="2" customFormat="1" ht="18.75" customHeight="1" x14ac:dyDescent="0.3">
      <c r="A330" s="1"/>
      <c r="B330" s="1"/>
      <c r="L330" s="3"/>
      <c r="M330" s="1"/>
      <c r="N330" s="1"/>
    </row>
    <row r="331" spans="1:14" s="2" customFormat="1" ht="18.75" customHeight="1" x14ac:dyDescent="0.3">
      <c r="A331" s="1"/>
      <c r="B331" s="1"/>
      <c r="L331" s="3"/>
      <c r="M331" s="1"/>
      <c r="N331" s="1"/>
    </row>
    <row r="332" spans="1:14" s="2" customFormat="1" ht="18.75" customHeight="1" x14ac:dyDescent="0.3">
      <c r="A332" s="1"/>
      <c r="B332" s="1"/>
      <c r="L332" s="3"/>
      <c r="M332" s="1"/>
      <c r="N332" s="1"/>
    </row>
    <row r="333" spans="1:14" s="2" customFormat="1" ht="18.75" customHeight="1" x14ac:dyDescent="0.3">
      <c r="A333" s="1"/>
      <c r="B333" s="1"/>
      <c r="L333" s="3"/>
      <c r="M333" s="1"/>
      <c r="N333" s="1"/>
    </row>
    <row r="334" spans="1:14" s="2" customFormat="1" ht="18.75" customHeight="1" x14ac:dyDescent="0.3">
      <c r="A334" s="1"/>
      <c r="B334" s="1"/>
      <c r="L334" s="3"/>
      <c r="M334" s="1"/>
      <c r="N334" s="1"/>
    </row>
    <row r="335" spans="1:14" s="2" customFormat="1" ht="18.75" customHeight="1" x14ac:dyDescent="0.3">
      <c r="A335" s="1"/>
      <c r="B335" s="1"/>
      <c r="L335" s="3"/>
      <c r="M335" s="1"/>
      <c r="N335" s="1"/>
    </row>
    <row r="336" spans="1:14" s="2" customFormat="1" ht="18.75" customHeight="1" x14ac:dyDescent="0.3">
      <c r="A336" s="1"/>
      <c r="B336" s="1"/>
      <c r="L336" s="3"/>
      <c r="M336" s="1"/>
      <c r="N336" s="1"/>
    </row>
    <row r="337" spans="1:14" s="2" customFormat="1" ht="18.75" customHeight="1" x14ac:dyDescent="0.3">
      <c r="A337" s="1"/>
      <c r="B337" s="1"/>
      <c r="L337" s="3"/>
      <c r="M337" s="1"/>
      <c r="N337" s="1"/>
    </row>
    <row r="338" spans="1:14" s="2" customFormat="1" ht="18.75" customHeight="1" x14ac:dyDescent="0.3">
      <c r="A338" s="1"/>
      <c r="B338" s="1"/>
      <c r="L338" s="3"/>
      <c r="M338" s="1"/>
      <c r="N338" s="1"/>
    </row>
    <row r="339" spans="1:14" s="2" customFormat="1" ht="18.75" customHeight="1" x14ac:dyDescent="0.3">
      <c r="A339" s="1"/>
      <c r="B339" s="1"/>
      <c r="L339" s="3"/>
      <c r="M339" s="1"/>
      <c r="N339" s="1"/>
    </row>
    <row r="340" spans="1:14" s="2" customFormat="1" ht="18.75" customHeight="1" x14ac:dyDescent="0.3">
      <c r="A340" s="1"/>
      <c r="B340" s="1"/>
      <c r="L340" s="3"/>
      <c r="M340" s="1"/>
      <c r="N340" s="1"/>
    </row>
    <row r="341" spans="1:14" s="2" customFormat="1" ht="18.75" customHeight="1" x14ac:dyDescent="0.3">
      <c r="A341" s="1"/>
      <c r="B341" s="1"/>
      <c r="L341" s="3"/>
      <c r="M341" s="1"/>
      <c r="N341" s="1"/>
    </row>
    <row r="342" spans="1:14" s="2" customFormat="1" ht="18.75" customHeight="1" x14ac:dyDescent="0.3">
      <c r="A342" s="1"/>
      <c r="B342" s="1"/>
      <c r="L342" s="3"/>
      <c r="M342" s="1"/>
      <c r="N342" s="1"/>
    </row>
    <row r="343" spans="1:14" s="2" customFormat="1" ht="18.75" customHeight="1" x14ac:dyDescent="0.3">
      <c r="A343" s="1"/>
      <c r="B343" s="1"/>
      <c r="L343" s="3"/>
      <c r="M343" s="1"/>
      <c r="N343" s="1"/>
    </row>
    <row r="344" spans="1:14" s="2" customFormat="1" ht="18.75" customHeight="1" x14ac:dyDescent="0.3">
      <c r="A344" s="1"/>
      <c r="B344" s="1"/>
      <c r="L344" s="3"/>
      <c r="M344" s="1"/>
      <c r="N344" s="1"/>
    </row>
    <row r="345" spans="1:14" s="2" customFormat="1" ht="18.75" customHeight="1" x14ac:dyDescent="0.3">
      <c r="A345" s="1"/>
      <c r="B345" s="1"/>
      <c r="L345" s="3"/>
      <c r="M345" s="1"/>
      <c r="N345" s="1"/>
    </row>
    <row r="346" spans="1:14" s="2" customFormat="1" ht="18.75" customHeight="1" x14ac:dyDescent="0.3">
      <c r="A346" s="1"/>
      <c r="B346" s="1"/>
      <c r="L346" s="3"/>
      <c r="M346" s="1"/>
      <c r="N346" s="1"/>
    </row>
    <row r="347" spans="1:14" s="2" customFormat="1" ht="18.75" customHeight="1" x14ac:dyDescent="0.3">
      <c r="A347" s="1"/>
      <c r="B347" s="1"/>
      <c r="L347" s="3"/>
      <c r="M347" s="1"/>
      <c r="N347" s="1"/>
    </row>
    <row r="348" spans="1:14" s="2" customFormat="1" ht="18.75" customHeight="1" x14ac:dyDescent="0.3">
      <c r="A348" s="1"/>
      <c r="B348" s="1"/>
      <c r="L348" s="3"/>
      <c r="M348" s="1"/>
      <c r="N348" s="1"/>
    </row>
    <row r="349" spans="1:14" s="2" customFormat="1" ht="18.75" customHeight="1" x14ac:dyDescent="0.3">
      <c r="A349" s="1"/>
      <c r="B349" s="1"/>
      <c r="L349" s="3"/>
      <c r="M349" s="1"/>
      <c r="N349" s="1"/>
    </row>
    <row r="350" spans="1:14" s="2" customFormat="1" ht="18.75" customHeight="1" x14ac:dyDescent="0.3">
      <c r="A350" s="1"/>
      <c r="B350" s="1"/>
      <c r="L350" s="3"/>
      <c r="M350" s="1"/>
      <c r="N350" s="1"/>
    </row>
    <row r="351" spans="1:14" s="2" customFormat="1" ht="18.75" customHeight="1" x14ac:dyDescent="0.3">
      <c r="A351" s="1"/>
      <c r="B351" s="1"/>
      <c r="L351" s="3"/>
      <c r="M351" s="1"/>
      <c r="N351" s="1"/>
    </row>
    <row r="352" spans="1:14" s="2" customFormat="1" ht="18.75" customHeight="1" x14ac:dyDescent="0.3">
      <c r="A352" s="1"/>
      <c r="B352" s="1"/>
      <c r="L352" s="3"/>
      <c r="M352" s="1"/>
      <c r="N352" s="1"/>
    </row>
    <row r="353" spans="1:14" s="2" customFormat="1" ht="18.75" customHeight="1" x14ac:dyDescent="0.3">
      <c r="A353" s="1"/>
      <c r="B353" s="1"/>
      <c r="L353" s="3"/>
      <c r="M353" s="1"/>
      <c r="N353" s="1"/>
    </row>
    <row r="354" spans="1:14" s="2" customFormat="1" ht="18.75" customHeight="1" x14ac:dyDescent="0.3">
      <c r="A354" s="1"/>
      <c r="B354" s="1"/>
      <c r="L354" s="3"/>
      <c r="M354" s="1"/>
      <c r="N354" s="1"/>
    </row>
    <row r="355" spans="1:14" s="2" customFormat="1" ht="18.75" customHeight="1" x14ac:dyDescent="0.3">
      <c r="A355" s="1"/>
      <c r="B355" s="1"/>
      <c r="L355" s="3"/>
      <c r="M355" s="1"/>
      <c r="N355" s="1"/>
    </row>
    <row r="356" spans="1:14" s="2" customFormat="1" ht="18.75" customHeight="1" x14ac:dyDescent="0.3">
      <c r="A356" s="1"/>
      <c r="B356" s="1"/>
      <c r="L356" s="3"/>
      <c r="M356" s="1"/>
      <c r="N356" s="1"/>
    </row>
    <row r="357" spans="1:14" s="2" customFormat="1" ht="18.75" customHeight="1" x14ac:dyDescent="0.3">
      <c r="A357" s="1"/>
      <c r="B357" s="1"/>
      <c r="L357" s="3"/>
      <c r="M357" s="1"/>
      <c r="N357" s="1"/>
    </row>
    <row r="358" spans="1:14" s="2" customFormat="1" ht="18.75" customHeight="1" x14ac:dyDescent="0.3">
      <c r="A358" s="1"/>
      <c r="B358" s="1"/>
      <c r="L358" s="3"/>
      <c r="M358" s="1"/>
      <c r="N358" s="1"/>
    </row>
    <row r="359" spans="1:14" s="2" customFormat="1" ht="18.75" customHeight="1" x14ac:dyDescent="0.3">
      <c r="A359" s="1"/>
      <c r="B359" s="1"/>
      <c r="L359" s="3"/>
      <c r="M359" s="1"/>
      <c r="N359" s="1"/>
    </row>
    <row r="360" spans="1:14" s="2" customFormat="1" ht="18.75" customHeight="1" x14ac:dyDescent="0.3">
      <c r="A360" s="1"/>
      <c r="B360" s="1"/>
      <c r="L360" s="3"/>
      <c r="M360" s="1"/>
      <c r="N360" s="1"/>
    </row>
    <row r="361" spans="1:14" s="2" customFormat="1" ht="18.75" customHeight="1" x14ac:dyDescent="0.3">
      <c r="A361" s="1"/>
      <c r="B361" s="1"/>
      <c r="L361" s="3"/>
      <c r="M361" s="1"/>
      <c r="N361" s="1"/>
    </row>
    <row r="362" spans="1:14" s="2" customFormat="1" ht="18.75" customHeight="1" x14ac:dyDescent="0.3">
      <c r="A362" s="1"/>
      <c r="B362" s="1"/>
      <c r="L362" s="3"/>
      <c r="M362" s="1"/>
      <c r="N362" s="1"/>
    </row>
    <row r="363" spans="1:14" s="2" customFormat="1" ht="18.75" customHeight="1" x14ac:dyDescent="0.3">
      <c r="A363" s="1"/>
      <c r="B363" s="1"/>
      <c r="L363" s="3"/>
      <c r="M363" s="1"/>
      <c r="N363" s="1"/>
    </row>
    <row r="364" spans="1:14" s="2" customFormat="1" ht="18.75" customHeight="1" x14ac:dyDescent="0.3">
      <c r="A364" s="1"/>
      <c r="B364" s="1"/>
      <c r="L364" s="3"/>
      <c r="M364" s="1"/>
      <c r="N364" s="1"/>
    </row>
    <row r="365" spans="1:14" s="2" customFormat="1" ht="18.75" customHeight="1" x14ac:dyDescent="0.3">
      <c r="A365" s="1"/>
      <c r="B365" s="1"/>
      <c r="L365" s="3"/>
      <c r="M365" s="1"/>
      <c r="N365" s="1"/>
    </row>
    <row r="366" spans="1:14" s="2" customFormat="1" ht="18.75" customHeight="1" x14ac:dyDescent="0.3">
      <c r="A366" s="1"/>
      <c r="B366" s="1"/>
      <c r="L366" s="3"/>
      <c r="M366" s="1"/>
      <c r="N366" s="1"/>
    </row>
    <row r="367" spans="1:14" s="2" customFormat="1" ht="18.75" customHeight="1" x14ac:dyDescent="0.3">
      <c r="A367" s="1"/>
      <c r="B367" s="1"/>
      <c r="L367" s="3"/>
      <c r="M367" s="1"/>
      <c r="N367" s="1"/>
    </row>
    <row r="368" spans="1:14" s="2" customFormat="1" ht="18.75" customHeight="1" x14ac:dyDescent="0.3">
      <c r="A368" s="1"/>
      <c r="B368" s="1"/>
      <c r="L368" s="3"/>
      <c r="M368" s="1"/>
      <c r="N368" s="1"/>
    </row>
    <row r="369" spans="1:14" s="2" customFormat="1" ht="18.75" customHeight="1" x14ac:dyDescent="0.3">
      <c r="A369" s="1"/>
      <c r="B369" s="1"/>
      <c r="L369" s="3"/>
      <c r="M369" s="1"/>
      <c r="N369" s="1"/>
    </row>
    <row r="370" spans="1:14" s="2" customFormat="1" ht="18.75" customHeight="1" x14ac:dyDescent="0.3">
      <c r="A370" s="1"/>
      <c r="B370" s="1"/>
      <c r="L370" s="3"/>
      <c r="M370" s="1"/>
      <c r="N370" s="1"/>
    </row>
    <row r="371" spans="1:14" s="2" customFormat="1" ht="18.75" customHeight="1" x14ac:dyDescent="0.3">
      <c r="A371" s="1"/>
      <c r="B371" s="1"/>
      <c r="L371" s="3"/>
      <c r="M371" s="1"/>
      <c r="N371" s="1"/>
    </row>
    <row r="372" spans="1:14" s="2" customFormat="1" ht="18.75" customHeight="1" x14ac:dyDescent="0.3">
      <c r="A372" s="1"/>
      <c r="B372" s="1"/>
      <c r="L372" s="3"/>
      <c r="M372" s="1"/>
      <c r="N372" s="1"/>
    </row>
    <row r="373" spans="1:14" s="2" customFormat="1" ht="18.75" customHeight="1" x14ac:dyDescent="0.3">
      <c r="A373" s="1"/>
      <c r="B373" s="1"/>
      <c r="L373" s="3"/>
      <c r="M373" s="1"/>
      <c r="N373" s="1"/>
    </row>
    <row r="374" spans="1:14" s="2" customFormat="1" ht="18.75" customHeight="1" x14ac:dyDescent="0.3">
      <c r="A374" s="1"/>
      <c r="B374" s="1"/>
      <c r="L374" s="3"/>
      <c r="M374" s="1"/>
      <c r="N374" s="1"/>
    </row>
    <row r="375" spans="1:14" s="2" customFormat="1" ht="18.75" customHeight="1" x14ac:dyDescent="0.3">
      <c r="A375" s="1"/>
      <c r="B375" s="1"/>
      <c r="L375" s="3"/>
      <c r="M375" s="1"/>
      <c r="N375" s="1"/>
    </row>
    <row r="376" spans="1:14" s="2" customFormat="1" ht="18.75" customHeight="1" x14ac:dyDescent="0.3">
      <c r="A376" s="1"/>
      <c r="B376" s="1"/>
      <c r="L376" s="3"/>
      <c r="M376" s="1"/>
      <c r="N376" s="1"/>
    </row>
    <row r="377" spans="1:14" s="2" customFormat="1" ht="18.75" customHeight="1" x14ac:dyDescent="0.3">
      <c r="A377" s="1"/>
      <c r="B377" s="1"/>
      <c r="L377" s="3"/>
      <c r="M377" s="1"/>
      <c r="N377" s="1"/>
    </row>
    <row r="378" spans="1:14" s="2" customFormat="1" ht="18.75" customHeight="1" x14ac:dyDescent="0.3">
      <c r="A378" s="1"/>
      <c r="B378" s="1"/>
      <c r="L378" s="3"/>
      <c r="M378" s="1"/>
      <c r="N378" s="1"/>
    </row>
    <row r="379" spans="1:14" s="2" customFormat="1" ht="18.75" customHeight="1" x14ac:dyDescent="0.3">
      <c r="A379" s="1"/>
      <c r="B379" s="1"/>
      <c r="L379" s="3"/>
      <c r="M379" s="1"/>
      <c r="N379" s="1"/>
    </row>
    <row r="380" spans="1:14" s="2" customFormat="1" ht="18.75" customHeight="1" x14ac:dyDescent="0.3">
      <c r="A380" s="1"/>
      <c r="B380" s="1"/>
      <c r="L380" s="3"/>
      <c r="M380" s="1"/>
      <c r="N380" s="1"/>
    </row>
    <row r="381" spans="1:14" s="2" customFormat="1" ht="18.75" customHeight="1" x14ac:dyDescent="0.3">
      <c r="A381" s="1"/>
      <c r="B381" s="1"/>
      <c r="L381" s="3"/>
      <c r="M381" s="1"/>
      <c r="N381" s="1"/>
    </row>
    <row r="382" spans="1:14" s="2" customFormat="1" ht="18.75" customHeight="1" x14ac:dyDescent="0.3">
      <c r="A382" s="1"/>
      <c r="B382" s="1"/>
      <c r="L382" s="3"/>
      <c r="M382" s="1"/>
      <c r="N382" s="1"/>
    </row>
    <row r="383" spans="1:14" s="2" customFormat="1" ht="18.75" customHeight="1" x14ac:dyDescent="0.3">
      <c r="A383" s="1"/>
      <c r="B383" s="1"/>
      <c r="L383" s="3"/>
      <c r="M383" s="1"/>
      <c r="N383" s="1"/>
    </row>
    <row r="384" spans="1:14" s="2" customFormat="1" ht="18.75" customHeight="1" x14ac:dyDescent="0.3">
      <c r="A384" s="1"/>
      <c r="B384" s="1"/>
      <c r="L384" s="3"/>
      <c r="M384" s="1"/>
      <c r="N384" s="1"/>
    </row>
    <row r="385" spans="1:14" s="2" customFormat="1" ht="18.75" customHeight="1" x14ac:dyDescent="0.3">
      <c r="A385" s="1"/>
      <c r="B385" s="1"/>
      <c r="L385" s="3"/>
      <c r="M385" s="1"/>
      <c r="N385" s="1"/>
    </row>
    <row r="386" spans="1:14" s="2" customFormat="1" ht="18.75" customHeight="1" x14ac:dyDescent="0.3">
      <c r="A386" s="1"/>
      <c r="B386" s="1"/>
      <c r="L386" s="3"/>
      <c r="M386" s="1"/>
      <c r="N386" s="1"/>
    </row>
    <row r="387" spans="1:14" s="2" customFormat="1" ht="18.75" customHeight="1" x14ac:dyDescent="0.3">
      <c r="A387" s="1"/>
      <c r="B387" s="1"/>
      <c r="L387" s="3"/>
      <c r="M387" s="1"/>
      <c r="N387" s="1"/>
    </row>
    <row r="388" spans="1:14" s="2" customFormat="1" ht="18.75" customHeight="1" x14ac:dyDescent="0.3">
      <c r="A388" s="1"/>
      <c r="B388" s="1"/>
      <c r="L388" s="3"/>
      <c r="M388" s="1"/>
      <c r="N388" s="1"/>
    </row>
    <row r="389" spans="1:14" s="2" customFormat="1" ht="18.75" customHeight="1" x14ac:dyDescent="0.3">
      <c r="A389" s="1"/>
      <c r="B389" s="1"/>
      <c r="L389" s="3"/>
      <c r="M389" s="1"/>
      <c r="N389" s="1"/>
    </row>
    <row r="390" spans="1:14" s="2" customFormat="1" ht="18.75" customHeight="1" x14ac:dyDescent="0.3">
      <c r="A390" s="1"/>
      <c r="B390" s="1"/>
      <c r="L390" s="3"/>
      <c r="M390" s="1"/>
      <c r="N390" s="1"/>
    </row>
    <row r="391" spans="1:14" s="2" customFormat="1" ht="18.75" customHeight="1" x14ac:dyDescent="0.3">
      <c r="A391" s="1"/>
      <c r="B391" s="1"/>
      <c r="L391" s="3"/>
      <c r="M391" s="1"/>
      <c r="N391" s="1"/>
    </row>
    <row r="392" spans="1:14" s="2" customFormat="1" ht="18.75" customHeight="1" x14ac:dyDescent="0.3">
      <c r="A392" s="1"/>
      <c r="B392" s="1"/>
      <c r="L392" s="3"/>
      <c r="M392" s="1"/>
      <c r="N392" s="1"/>
    </row>
    <row r="393" spans="1:14" s="2" customFormat="1" ht="18.75" customHeight="1" x14ac:dyDescent="0.3">
      <c r="A393" s="1"/>
      <c r="B393" s="1"/>
      <c r="L393" s="3"/>
      <c r="M393" s="1"/>
      <c r="N393" s="1"/>
    </row>
    <row r="394" spans="1:14" s="2" customFormat="1" ht="18.75" customHeight="1" x14ac:dyDescent="0.3">
      <c r="A394" s="1"/>
      <c r="B394" s="1"/>
      <c r="L394" s="3"/>
      <c r="M394" s="1"/>
      <c r="N394" s="1"/>
    </row>
    <row r="395" spans="1:14" s="2" customFormat="1" ht="18.75" customHeight="1" x14ac:dyDescent="0.3">
      <c r="A395" s="1"/>
      <c r="B395" s="1"/>
      <c r="L395" s="3"/>
      <c r="M395" s="1"/>
      <c r="N395" s="1"/>
    </row>
    <row r="396" spans="1:14" s="2" customFormat="1" ht="18.75" customHeight="1" x14ac:dyDescent="0.3">
      <c r="A396" s="1"/>
      <c r="B396" s="1"/>
      <c r="L396" s="3"/>
      <c r="M396" s="1"/>
      <c r="N396" s="1"/>
    </row>
    <row r="397" spans="1:14" s="2" customFormat="1" ht="18.75" customHeight="1" x14ac:dyDescent="0.3">
      <c r="A397" s="1"/>
      <c r="B397" s="1"/>
      <c r="L397" s="3"/>
      <c r="M397" s="1"/>
      <c r="N397" s="1"/>
    </row>
    <row r="398" spans="1:14" s="2" customFormat="1" ht="18.75" customHeight="1" x14ac:dyDescent="0.3">
      <c r="A398" s="1"/>
      <c r="B398" s="1"/>
      <c r="L398" s="3"/>
      <c r="M398" s="1"/>
      <c r="N398" s="1"/>
    </row>
    <row r="399" spans="1:14" s="2" customFormat="1" ht="18.75" customHeight="1" x14ac:dyDescent="0.3">
      <c r="A399" s="1"/>
      <c r="B399" s="1"/>
      <c r="L399" s="3"/>
      <c r="M399" s="1"/>
      <c r="N399" s="1"/>
    </row>
    <row r="400" spans="1:14" s="2" customFormat="1" ht="18.75" customHeight="1" x14ac:dyDescent="0.3">
      <c r="A400" s="1"/>
      <c r="B400" s="1"/>
      <c r="L400" s="3"/>
      <c r="M400" s="1"/>
      <c r="N400" s="1"/>
    </row>
    <row r="401" spans="1:14" s="2" customFormat="1" ht="18.75" customHeight="1" x14ac:dyDescent="0.3">
      <c r="A401" s="1"/>
      <c r="B401" s="1"/>
      <c r="L401" s="3"/>
      <c r="M401" s="1"/>
      <c r="N401" s="1"/>
    </row>
    <row r="402" spans="1:14" s="2" customFormat="1" ht="18.75" customHeight="1" x14ac:dyDescent="0.3">
      <c r="A402" s="1"/>
      <c r="B402" s="1"/>
      <c r="L402" s="3"/>
      <c r="M402" s="1"/>
      <c r="N402" s="1"/>
    </row>
    <row r="403" spans="1:14" s="2" customFormat="1" ht="18.75" customHeight="1" x14ac:dyDescent="0.3">
      <c r="A403" s="1"/>
      <c r="B403" s="1"/>
      <c r="L403" s="3"/>
      <c r="M403" s="1"/>
      <c r="N403" s="1"/>
    </row>
    <row r="404" spans="1:14" s="2" customFormat="1" ht="18.75" customHeight="1" x14ac:dyDescent="0.3">
      <c r="A404" s="1"/>
      <c r="B404" s="1"/>
      <c r="L404" s="3"/>
      <c r="M404" s="1"/>
      <c r="N404" s="1"/>
    </row>
    <row r="405" spans="1:14" s="2" customFormat="1" ht="18.75" customHeight="1" x14ac:dyDescent="0.3">
      <c r="A405" s="1"/>
      <c r="B405" s="1"/>
      <c r="L405" s="3"/>
      <c r="M405" s="1"/>
      <c r="N405" s="1"/>
    </row>
    <row r="406" spans="1:14" s="2" customFormat="1" ht="18.75" customHeight="1" x14ac:dyDescent="0.3">
      <c r="A406" s="1"/>
      <c r="B406" s="1"/>
      <c r="L406" s="3"/>
      <c r="M406" s="1"/>
      <c r="N406" s="1"/>
    </row>
    <row r="407" spans="1:14" s="2" customFormat="1" ht="18.75" customHeight="1" x14ac:dyDescent="0.3">
      <c r="A407" s="1"/>
      <c r="B407" s="1"/>
      <c r="L407" s="3"/>
      <c r="M407" s="1"/>
      <c r="N407" s="1"/>
    </row>
    <row r="408" spans="1:14" s="2" customFormat="1" ht="18.75" customHeight="1" x14ac:dyDescent="0.3">
      <c r="A408" s="1"/>
      <c r="B408" s="1"/>
      <c r="L408" s="3"/>
      <c r="M408" s="1"/>
      <c r="N408" s="1"/>
    </row>
    <row r="409" spans="1:14" s="2" customFormat="1" ht="18.75" customHeight="1" x14ac:dyDescent="0.3">
      <c r="A409" s="1"/>
      <c r="B409" s="1"/>
      <c r="L409" s="3"/>
      <c r="M409" s="1"/>
      <c r="N409" s="1"/>
    </row>
    <row r="410" spans="1:14" s="2" customFormat="1" ht="18.75" customHeight="1" x14ac:dyDescent="0.3">
      <c r="A410" s="1"/>
      <c r="B410" s="1"/>
      <c r="L410" s="3"/>
      <c r="M410" s="1"/>
      <c r="N410" s="1"/>
    </row>
    <row r="411" spans="1:14" s="2" customFormat="1" ht="18.75" customHeight="1" x14ac:dyDescent="0.3">
      <c r="A411" s="1"/>
      <c r="B411" s="1"/>
      <c r="L411" s="3"/>
      <c r="M411" s="1"/>
      <c r="N411" s="1"/>
    </row>
    <row r="412" spans="1:14" s="2" customFormat="1" ht="18.75" customHeight="1" x14ac:dyDescent="0.3">
      <c r="A412" s="1"/>
      <c r="B412" s="1"/>
      <c r="L412" s="3"/>
      <c r="M412" s="1"/>
      <c r="N412" s="1"/>
    </row>
    <row r="413" spans="1:14" s="2" customFormat="1" ht="18.75" customHeight="1" x14ac:dyDescent="0.3">
      <c r="A413" s="1"/>
      <c r="B413" s="1"/>
      <c r="L413" s="3"/>
      <c r="M413" s="1"/>
      <c r="N413" s="1"/>
    </row>
    <row r="414" spans="1:14" s="2" customFormat="1" ht="18.75" customHeight="1" x14ac:dyDescent="0.3">
      <c r="A414" s="1"/>
      <c r="B414" s="1"/>
      <c r="L414" s="3"/>
      <c r="M414" s="1"/>
      <c r="N414" s="1"/>
    </row>
    <row r="415" spans="1:14" s="2" customFormat="1" ht="18.75" customHeight="1" x14ac:dyDescent="0.3">
      <c r="A415" s="1"/>
      <c r="B415" s="1"/>
      <c r="L415" s="3"/>
      <c r="M415" s="1"/>
      <c r="N415" s="1"/>
    </row>
    <row r="416" spans="1:14" s="2" customFormat="1" ht="18.75" customHeight="1" x14ac:dyDescent="0.3">
      <c r="A416" s="1"/>
      <c r="B416" s="1"/>
      <c r="L416" s="3"/>
      <c r="M416" s="1"/>
      <c r="N416" s="1"/>
    </row>
    <row r="417" spans="1:14" s="2" customFormat="1" ht="18.75" customHeight="1" x14ac:dyDescent="0.3">
      <c r="A417" s="1"/>
      <c r="B417" s="1"/>
      <c r="L417" s="3"/>
      <c r="M417" s="1"/>
      <c r="N417" s="1"/>
    </row>
    <row r="418" spans="1:14" s="2" customFormat="1" ht="18.75" customHeight="1" x14ac:dyDescent="0.3">
      <c r="A418" s="1"/>
      <c r="B418" s="1"/>
      <c r="L418" s="3"/>
      <c r="M418" s="1"/>
      <c r="N418" s="1"/>
    </row>
    <row r="419" spans="1:14" s="2" customFormat="1" ht="18.75" customHeight="1" x14ac:dyDescent="0.3">
      <c r="A419" s="1"/>
      <c r="B419" s="1"/>
      <c r="L419" s="3"/>
      <c r="M419" s="1"/>
      <c r="N419" s="1"/>
    </row>
    <row r="420" spans="1:14" s="2" customFormat="1" ht="18.75" customHeight="1" x14ac:dyDescent="0.3">
      <c r="A420" s="1"/>
      <c r="B420" s="1"/>
      <c r="L420" s="3"/>
      <c r="M420" s="1"/>
      <c r="N420" s="1"/>
    </row>
    <row r="421" spans="1:14" s="2" customFormat="1" ht="18.75" customHeight="1" x14ac:dyDescent="0.3">
      <c r="A421" s="1"/>
      <c r="B421" s="1"/>
      <c r="L421" s="3"/>
      <c r="M421" s="1"/>
      <c r="N421" s="1"/>
    </row>
    <row r="422" spans="1:14" s="2" customFormat="1" ht="18.75" customHeight="1" x14ac:dyDescent="0.3">
      <c r="A422" s="1"/>
      <c r="B422" s="1"/>
      <c r="L422" s="3"/>
      <c r="M422" s="1"/>
      <c r="N422" s="1"/>
    </row>
    <row r="423" spans="1:14" s="2" customFormat="1" ht="18.75" customHeight="1" x14ac:dyDescent="0.3">
      <c r="A423" s="1"/>
      <c r="B423" s="1"/>
      <c r="L423" s="3"/>
      <c r="M423" s="1"/>
      <c r="N423" s="1"/>
    </row>
    <row r="424" spans="1:14" s="2" customFormat="1" ht="18.75" customHeight="1" x14ac:dyDescent="0.3">
      <c r="A424" s="1"/>
      <c r="B424" s="1"/>
      <c r="L424" s="3"/>
      <c r="M424" s="1"/>
      <c r="N424" s="1"/>
    </row>
    <row r="425" spans="1:14" s="2" customFormat="1" ht="18.75" customHeight="1" x14ac:dyDescent="0.3">
      <c r="A425" s="1"/>
      <c r="B425" s="1"/>
      <c r="L425" s="3"/>
      <c r="M425" s="1"/>
      <c r="N425" s="1"/>
    </row>
    <row r="426" spans="1:14" s="2" customFormat="1" ht="18.75" customHeight="1" x14ac:dyDescent="0.3">
      <c r="A426" s="1"/>
      <c r="B426" s="1"/>
      <c r="L426" s="3"/>
      <c r="M426" s="1"/>
      <c r="N426" s="1"/>
    </row>
    <row r="427" spans="1:14" s="2" customFormat="1" ht="18.75" customHeight="1" x14ac:dyDescent="0.3">
      <c r="A427" s="1"/>
      <c r="B427" s="1"/>
      <c r="L427" s="3"/>
      <c r="M427" s="1"/>
      <c r="N427" s="1"/>
    </row>
    <row r="428" spans="1:14" s="2" customFormat="1" ht="18.75" customHeight="1" x14ac:dyDescent="0.3">
      <c r="A428" s="1"/>
      <c r="B428" s="1"/>
      <c r="L428" s="3"/>
      <c r="M428" s="1"/>
      <c r="N428" s="1"/>
    </row>
    <row r="429" spans="1:14" s="2" customFormat="1" ht="18.75" customHeight="1" x14ac:dyDescent="0.3">
      <c r="A429" s="1"/>
      <c r="B429" s="1"/>
      <c r="L429" s="3"/>
      <c r="M429" s="1"/>
      <c r="N429" s="1"/>
    </row>
    <row r="430" spans="1:14" s="2" customFormat="1" ht="18.75" customHeight="1" x14ac:dyDescent="0.3">
      <c r="A430" s="1"/>
      <c r="B430" s="1"/>
      <c r="L430" s="3"/>
      <c r="M430" s="1"/>
      <c r="N430" s="1"/>
    </row>
    <row r="431" spans="1:14" s="2" customFormat="1" ht="18.75" customHeight="1" x14ac:dyDescent="0.3">
      <c r="A431" s="1"/>
      <c r="B431" s="1"/>
      <c r="L431" s="3"/>
      <c r="M431" s="1"/>
      <c r="N431" s="1"/>
    </row>
    <row r="432" spans="1:14" s="2" customFormat="1" ht="18.75" customHeight="1" x14ac:dyDescent="0.3">
      <c r="A432" s="1"/>
      <c r="B432" s="1"/>
      <c r="L432" s="3"/>
      <c r="M432" s="1"/>
      <c r="N432" s="1"/>
    </row>
    <row r="433" spans="1:14" s="2" customFormat="1" ht="18.75" customHeight="1" x14ac:dyDescent="0.3">
      <c r="A433" s="1"/>
      <c r="B433" s="1"/>
      <c r="L433" s="3"/>
      <c r="M433" s="1"/>
      <c r="N433" s="1"/>
    </row>
    <row r="434" spans="1:14" s="2" customFormat="1" ht="18.75" customHeight="1" x14ac:dyDescent="0.3">
      <c r="A434" s="1"/>
      <c r="B434" s="1"/>
      <c r="L434" s="3"/>
      <c r="M434" s="1"/>
      <c r="N434" s="1"/>
    </row>
    <row r="435" spans="1:14" s="2" customFormat="1" ht="18.75" customHeight="1" x14ac:dyDescent="0.3">
      <c r="A435" s="1"/>
      <c r="B435" s="1"/>
      <c r="L435" s="3"/>
      <c r="M435" s="1"/>
      <c r="N435" s="1"/>
    </row>
    <row r="436" spans="1:14" s="2" customFormat="1" ht="18.75" customHeight="1" x14ac:dyDescent="0.3">
      <c r="A436" s="1"/>
      <c r="B436" s="1"/>
      <c r="L436" s="3"/>
      <c r="M436" s="1"/>
      <c r="N436" s="1"/>
    </row>
    <row r="437" spans="1:14" s="2" customFormat="1" ht="18.75" customHeight="1" x14ac:dyDescent="0.3">
      <c r="A437" s="1"/>
      <c r="B437" s="1"/>
      <c r="L437" s="3"/>
      <c r="M437" s="1"/>
      <c r="N437" s="1"/>
    </row>
    <row r="438" spans="1:14" s="2" customFormat="1" ht="18.75" customHeight="1" x14ac:dyDescent="0.3">
      <c r="A438" s="1"/>
      <c r="B438" s="1"/>
      <c r="L438" s="3"/>
      <c r="M438" s="1"/>
      <c r="N438" s="1"/>
    </row>
    <row r="439" spans="1:14" s="2" customFormat="1" ht="18.75" customHeight="1" x14ac:dyDescent="0.3">
      <c r="A439" s="1"/>
      <c r="B439" s="1"/>
      <c r="L439" s="3"/>
      <c r="M439" s="1"/>
      <c r="N439" s="1"/>
    </row>
    <row r="440" spans="1:14" s="2" customFormat="1" ht="18.75" customHeight="1" x14ac:dyDescent="0.3">
      <c r="A440" s="1"/>
      <c r="B440" s="1"/>
      <c r="L440" s="3"/>
      <c r="M440" s="1"/>
      <c r="N440" s="1"/>
    </row>
    <row r="441" spans="1:14" s="2" customFormat="1" ht="18.75" customHeight="1" x14ac:dyDescent="0.3">
      <c r="A441" s="1"/>
      <c r="B441" s="1"/>
      <c r="L441" s="3"/>
      <c r="M441" s="1"/>
      <c r="N441" s="1"/>
    </row>
    <row r="442" spans="1:14" s="2" customFormat="1" ht="18.75" customHeight="1" x14ac:dyDescent="0.3">
      <c r="A442" s="1"/>
      <c r="B442" s="1"/>
      <c r="L442" s="3"/>
      <c r="M442" s="1"/>
      <c r="N442" s="1"/>
    </row>
    <row r="443" spans="1:14" s="2" customFormat="1" ht="18.75" customHeight="1" x14ac:dyDescent="0.3">
      <c r="A443" s="1"/>
      <c r="B443" s="1"/>
      <c r="L443" s="3"/>
      <c r="M443" s="1"/>
      <c r="N443" s="1"/>
    </row>
    <row r="444" spans="1:14" s="2" customFormat="1" ht="18.75" customHeight="1" x14ac:dyDescent="0.3">
      <c r="A444" s="1"/>
      <c r="B444" s="1"/>
      <c r="L444" s="3"/>
      <c r="M444" s="1"/>
      <c r="N444" s="1"/>
    </row>
    <row r="445" spans="1:14" s="2" customFormat="1" ht="18.75" customHeight="1" x14ac:dyDescent="0.3">
      <c r="A445" s="1"/>
      <c r="B445" s="1"/>
      <c r="L445" s="3"/>
      <c r="M445" s="1"/>
      <c r="N445" s="1"/>
    </row>
    <row r="446" spans="1:14" s="2" customFormat="1" ht="18.75" customHeight="1" x14ac:dyDescent="0.3">
      <c r="A446" s="1"/>
      <c r="B446" s="1"/>
      <c r="L446" s="3"/>
      <c r="M446" s="1"/>
      <c r="N446" s="1"/>
    </row>
    <row r="447" spans="1:14" s="2" customFormat="1" ht="18.75" customHeight="1" x14ac:dyDescent="0.3">
      <c r="A447" s="1"/>
      <c r="B447" s="1"/>
      <c r="L447" s="3"/>
      <c r="M447" s="1"/>
      <c r="N447" s="1"/>
    </row>
    <row r="448" spans="1:14" s="2" customFormat="1" ht="18.75" customHeight="1" x14ac:dyDescent="0.3">
      <c r="A448" s="1"/>
      <c r="B448" s="1"/>
      <c r="L448" s="3"/>
      <c r="M448" s="1"/>
      <c r="N448" s="1"/>
    </row>
    <row r="449" spans="1:14" s="2" customFormat="1" ht="18.75" customHeight="1" x14ac:dyDescent="0.3">
      <c r="A449" s="1"/>
      <c r="B449" s="1"/>
      <c r="L449" s="3"/>
      <c r="M449" s="1"/>
      <c r="N449" s="1"/>
    </row>
    <row r="450" spans="1:14" s="2" customFormat="1" ht="18.75" customHeight="1" x14ac:dyDescent="0.3">
      <c r="A450" s="1"/>
      <c r="B450" s="1"/>
      <c r="L450" s="3"/>
      <c r="M450" s="1"/>
      <c r="N450" s="1"/>
    </row>
    <row r="451" spans="1:14" s="2" customFormat="1" ht="18.75" customHeight="1" x14ac:dyDescent="0.3">
      <c r="A451" s="1"/>
      <c r="B451" s="1"/>
      <c r="L451" s="3"/>
      <c r="M451" s="1"/>
      <c r="N451" s="1"/>
    </row>
    <row r="452" spans="1:14" s="2" customFormat="1" ht="18.75" customHeight="1" x14ac:dyDescent="0.3">
      <c r="A452" s="1"/>
      <c r="B452" s="1"/>
      <c r="L452" s="3"/>
      <c r="M452" s="1"/>
      <c r="N452" s="1"/>
    </row>
    <row r="453" spans="1:14" s="2" customFormat="1" ht="18.75" customHeight="1" x14ac:dyDescent="0.3">
      <c r="A453" s="1"/>
      <c r="B453" s="1"/>
      <c r="L453" s="3"/>
      <c r="M453" s="1"/>
      <c r="N453" s="1"/>
    </row>
    <row r="454" spans="1:14" s="2" customFormat="1" ht="18.75" customHeight="1" x14ac:dyDescent="0.3">
      <c r="A454" s="1"/>
      <c r="B454" s="1"/>
      <c r="L454" s="3"/>
      <c r="M454" s="1"/>
      <c r="N454" s="1"/>
    </row>
    <row r="455" spans="1:14" s="2" customFormat="1" ht="18.75" customHeight="1" x14ac:dyDescent="0.3">
      <c r="A455" s="1"/>
      <c r="B455" s="1"/>
      <c r="L455" s="3"/>
      <c r="M455" s="1"/>
      <c r="N455" s="1"/>
    </row>
    <row r="456" spans="1:14" s="2" customFormat="1" ht="18.75" customHeight="1" x14ac:dyDescent="0.3">
      <c r="A456" s="1"/>
      <c r="B456" s="1"/>
      <c r="L456" s="3"/>
      <c r="M456" s="1"/>
      <c r="N456" s="1"/>
    </row>
    <row r="457" spans="1:14" s="2" customFormat="1" ht="18.75" customHeight="1" x14ac:dyDescent="0.3">
      <c r="A457" s="1"/>
      <c r="B457" s="1"/>
      <c r="L457" s="3"/>
      <c r="M457" s="1"/>
      <c r="N457" s="1"/>
    </row>
    <row r="458" spans="1:14" s="2" customFormat="1" ht="18.75" customHeight="1" x14ac:dyDescent="0.3">
      <c r="A458" s="1"/>
      <c r="B458" s="1"/>
      <c r="L458" s="3"/>
      <c r="M458" s="1"/>
      <c r="N458" s="1"/>
    </row>
    <row r="459" spans="1:14" s="2" customFormat="1" ht="18.75" customHeight="1" x14ac:dyDescent="0.3">
      <c r="A459" s="1"/>
      <c r="B459" s="1"/>
      <c r="L459" s="3"/>
      <c r="M459" s="1"/>
      <c r="N459" s="1"/>
    </row>
    <row r="460" spans="1:14" s="2" customFormat="1" ht="18.75" customHeight="1" x14ac:dyDescent="0.3">
      <c r="A460" s="1"/>
      <c r="B460" s="1"/>
      <c r="L460" s="3"/>
      <c r="M460" s="1"/>
      <c r="N460" s="1"/>
    </row>
    <row r="461" spans="1:14" s="2" customFormat="1" ht="18.75" customHeight="1" x14ac:dyDescent="0.3">
      <c r="A461" s="1"/>
      <c r="B461" s="1"/>
      <c r="L461" s="3"/>
      <c r="M461" s="1"/>
      <c r="N461" s="1"/>
    </row>
    <row r="462" spans="1:14" s="2" customFormat="1" ht="18.75" customHeight="1" x14ac:dyDescent="0.3">
      <c r="A462" s="1"/>
      <c r="B462" s="1"/>
      <c r="L462" s="3"/>
      <c r="M462" s="1"/>
      <c r="N462" s="1"/>
    </row>
    <row r="463" spans="1:14" s="2" customFormat="1" ht="18.75" customHeight="1" x14ac:dyDescent="0.3">
      <c r="A463" s="1"/>
      <c r="B463" s="1"/>
      <c r="L463" s="3"/>
      <c r="M463" s="1"/>
      <c r="N463" s="1"/>
    </row>
    <row r="464" spans="1:14" s="2" customFormat="1" ht="18.75" customHeight="1" x14ac:dyDescent="0.3">
      <c r="A464" s="1"/>
      <c r="B464" s="1"/>
      <c r="L464" s="3"/>
      <c r="M464" s="1"/>
      <c r="N464" s="1"/>
    </row>
    <row r="465" spans="1:14" s="2" customFormat="1" ht="18.75" customHeight="1" x14ac:dyDescent="0.3">
      <c r="A465" s="1"/>
      <c r="B465" s="1"/>
      <c r="L465" s="3"/>
      <c r="M465" s="1"/>
      <c r="N465" s="1"/>
    </row>
    <row r="466" spans="1:14" s="2" customFormat="1" ht="18.75" customHeight="1" x14ac:dyDescent="0.3">
      <c r="A466" s="1"/>
      <c r="B466" s="1"/>
      <c r="L466" s="3"/>
      <c r="M466" s="1"/>
      <c r="N466" s="1"/>
    </row>
    <row r="467" spans="1:14" s="2" customFormat="1" ht="18.75" customHeight="1" x14ac:dyDescent="0.3">
      <c r="A467" s="1"/>
      <c r="B467" s="1"/>
      <c r="L467" s="3"/>
      <c r="M467" s="1"/>
      <c r="N467" s="1"/>
    </row>
    <row r="468" spans="1:14" s="2" customFormat="1" ht="18.75" customHeight="1" x14ac:dyDescent="0.3">
      <c r="A468" s="1"/>
      <c r="B468" s="1"/>
      <c r="L468" s="3"/>
      <c r="M468" s="1"/>
      <c r="N468" s="1"/>
    </row>
    <row r="469" spans="1:14" s="2" customFormat="1" ht="18.75" customHeight="1" x14ac:dyDescent="0.3">
      <c r="A469" s="1"/>
      <c r="B469" s="1"/>
      <c r="L469" s="3"/>
      <c r="M469" s="1"/>
      <c r="N469" s="1"/>
    </row>
    <row r="470" spans="1:14" s="2" customFormat="1" ht="18.75" customHeight="1" x14ac:dyDescent="0.3">
      <c r="A470" s="1"/>
      <c r="B470" s="1"/>
      <c r="L470" s="3"/>
      <c r="M470" s="1"/>
      <c r="N470" s="1"/>
    </row>
    <row r="471" spans="1:14" s="2" customFormat="1" ht="18.75" customHeight="1" x14ac:dyDescent="0.3">
      <c r="A471" s="1"/>
      <c r="B471" s="1"/>
      <c r="L471" s="3"/>
      <c r="M471" s="1"/>
      <c r="N471" s="1"/>
    </row>
    <row r="472" spans="1:14" s="2" customFormat="1" ht="18.75" customHeight="1" x14ac:dyDescent="0.3">
      <c r="A472" s="1"/>
      <c r="B472" s="1"/>
      <c r="L472" s="3"/>
      <c r="M472" s="1"/>
      <c r="N472" s="1"/>
    </row>
  </sheetData>
  <autoFilter ref="A8:N102" xr:uid="{00000000-0009-0000-0000-000000000000}"/>
  <mergeCells count="12">
    <mergeCell ref="M7:M8"/>
    <mergeCell ref="D125:F125"/>
    <mergeCell ref="C2:D2"/>
    <mergeCell ref="E2:F2"/>
    <mergeCell ref="A7:A8"/>
    <mergeCell ref="B7:B8"/>
    <mergeCell ref="E7:E8"/>
    <mergeCell ref="A9:B9"/>
    <mergeCell ref="A17:B17"/>
    <mergeCell ref="A57:B57"/>
    <mergeCell ref="A90:B90"/>
    <mergeCell ref="B105:C105"/>
  </mergeCells>
  <conditionalFormatting sqref="C4">
    <cfRule type="cellIs" dxfId="19" priority="11" operator="lessThan">
      <formula>$K$3*$C$3/$K$2-1.0001</formula>
    </cfRule>
    <cfRule type="cellIs" dxfId="18" priority="12" operator="between">
      <formula>$K$3*$C$3/$K$2-1</formula>
      <formula>$K$3*$C$3/$K$2+1</formula>
    </cfRule>
    <cfRule type="cellIs" dxfId="17" priority="13" operator="greaterThan">
      <formula>$K$3*$C$3/$K$2+1.0001</formula>
    </cfRule>
  </conditionalFormatting>
  <conditionalFormatting sqref="J106:J123">
    <cfRule type="expression" dxfId="16" priority="7" stopIfTrue="1">
      <formula>L105&lt;0</formula>
    </cfRule>
  </conditionalFormatting>
  <conditionalFormatting sqref="J125">
    <cfRule type="expression" dxfId="15" priority="5" stopIfTrue="1">
      <formula>L124&lt;0</formula>
    </cfRule>
  </conditionalFormatting>
  <conditionalFormatting sqref="J10:K16 J18:K56 J58:K89 J93:K100">
    <cfRule type="cellIs" dxfId="14" priority="10" operator="equal">
      <formula>0</formula>
    </cfRule>
  </conditionalFormatting>
  <conditionalFormatting sqref="K125">
    <cfRule type="expression" dxfId="13" priority="4" stopIfTrue="1">
      <formula>L124&lt;0</formula>
    </cfRule>
  </conditionalFormatting>
  <conditionalFormatting sqref="L1:L1048576">
    <cfRule type="cellIs" dxfId="12" priority="9" operator="lessThan">
      <formula>0</formula>
    </cfRule>
  </conditionalFormatting>
  <conditionalFormatting sqref="M106:M123">
    <cfRule type="expression" dxfId="11" priority="2" stopIfTrue="1">
      <formula>L105&lt;0</formula>
    </cfRule>
  </conditionalFormatting>
  <conditionalFormatting sqref="M125">
    <cfRule type="expression" dxfId="10" priority="1" stopIfTrue="1">
      <formula>L124&lt;0</formula>
    </cfRule>
  </conditionalFormatting>
  <pageMargins left="0" right="0" top="0" bottom="0" header="0" footer="0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72"/>
  <sheetViews>
    <sheetView view="pageBreakPreview" zoomScale="70" zoomScaleNormal="61" zoomScaleSheetLayoutView="70" workbookViewId="0">
      <selection activeCell="B17" sqref="B17"/>
    </sheetView>
  </sheetViews>
  <sheetFormatPr defaultColWidth="9.109375" defaultRowHeight="18.75" customHeight="1" x14ac:dyDescent="0.3"/>
  <cols>
    <col min="1" max="1" width="6.44140625" style="1" customWidth="1"/>
    <col min="2" max="2" width="52.33203125" style="1" customWidth="1"/>
    <col min="3" max="3" width="13.6640625" style="2" customWidth="1"/>
    <col min="4" max="4" width="14.6640625" style="2" customWidth="1"/>
    <col min="5" max="5" width="14.44140625" style="2" customWidth="1"/>
    <col min="6" max="6" width="16.88671875" style="2" bestFit="1" customWidth="1"/>
    <col min="7" max="7" width="14.6640625" style="2" customWidth="1"/>
    <col min="8" max="8" width="18.88671875" style="2" customWidth="1"/>
    <col min="9" max="9" width="17.109375" style="2" bestFit="1" customWidth="1"/>
    <col min="10" max="10" width="19" style="2" bestFit="1" customWidth="1"/>
    <col min="11" max="11" width="14.6640625" style="2" customWidth="1"/>
    <col min="12" max="12" width="18.6640625" style="3" bestFit="1" customWidth="1"/>
    <col min="13" max="13" width="19.109375" style="1" customWidth="1"/>
    <col min="14" max="14" width="9.33203125" style="1" bestFit="1" customWidth="1"/>
    <col min="15" max="16384" width="9.109375" style="1"/>
  </cols>
  <sheetData>
    <row r="1" spans="1:13" ht="18.75" customHeight="1" thickBot="1" x14ac:dyDescent="0.35"/>
    <row r="2" spans="1:13" ht="18.75" customHeight="1" thickBot="1" x14ac:dyDescent="0.35">
      <c r="A2" s="4"/>
      <c r="B2" s="5" t="s">
        <v>0</v>
      </c>
      <c r="C2" s="117" t="s">
        <v>179</v>
      </c>
      <c r="D2" s="118"/>
      <c r="E2" s="119" t="s">
        <v>180</v>
      </c>
      <c r="F2" s="118"/>
      <c r="G2" s="6"/>
      <c r="H2" s="7" t="s">
        <v>1</v>
      </c>
      <c r="I2" s="8">
        <v>600</v>
      </c>
      <c r="J2" s="7" t="s">
        <v>1</v>
      </c>
      <c r="K2" s="8">
        <v>600</v>
      </c>
      <c r="L2" s="9" t="s">
        <v>2</v>
      </c>
      <c r="M2" s="10">
        <v>45950</v>
      </c>
    </row>
    <row r="3" spans="1:13" ht="18.75" customHeight="1" thickBot="1" x14ac:dyDescent="0.35">
      <c r="A3" s="4"/>
      <c r="B3" s="5" t="s">
        <v>3</v>
      </c>
      <c r="C3" s="9">
        <f>C103</f>
        <v>44.949999999999989</v>
      </c>
      <c r="D3" s="8" t="s">
        <v>67</v>
      </c>
      <c r="E3" s="9">
        <f>+K3*C3/K2</f>
        <v>74.916666666666643</v>
      </c>
      <c r="F3" s="12" t="s">
        <v>85</v>
      </c>
      <c r="G3" s="88">
        <f>IF(E5="",(K3*C3*0.1),(K3*E5))</f>
        <v>3700</v>
      </c>
      <c r="H3" s="11" t="s">
        <v>4</v>
      </c>
      <c r="I3" s="12">
        <v>1000</v>
      </c>
      <c r="J3" s="11" t="s">
        <v>5</v>
      </c>
      <c r="K3" s="12">
        <f>+I3*K4</f>
        <v>1000</v>
      </c>
      <c r="L3" s="11"/>
      <c r="M3" s="13"/>
    </row>
    <row r="4" spans="1:13" ht="18.75" customHeight="1" thickBot="1" x14ac:dyDescent="0.35">
      <c r="A4" s="4"/>
      <c r="B4" s="5" t="s">
        <v>6</v>
      </c>
      <c r="C4" s="9">
        <f>C106</f>
        <v>74.75</v>
      </c>
      <c r="D4" s="8" t="s">
        <v>68</v>
      </c>
      <c r="E4" s="9">
        <f>+C4-E3</f>
        <v>-0.16666666666664298</v>
      </c>
      <c r="F4" s="12" t="s">
        <v>86</v>
      </c>
      <c r="G4" s="88">
        <f>+C111*55</f>
        <v>4468.75</v>
      </c>
      <c r="H4" s="11"/>
      <c r="I4" s="13"/>
      <c r="J4" s="11" t="s">
        <v>7</v>
      </c>
      <c r="K4" s="13">
        <v>1</v>
      </c>
      <c r="L4" s="11"/>
      <c r="M4" s="13"/>
    </row>
    <row r="5" spans="1:13" ht="18.75" customHeight="1" thickBot="1" x14ac:dyDescent="0.35">
      <c r="A5" s="4"/>
      <c r="B5" s="11" t="s">
        <v>8</v>
      </c>
      <c r="C5" s="12">
        <f>C107</f>
        <v>2.5</v>
      </c>
      <c r="D5" s="8" t="s">
        <v>91</v>
      </c>
      <c r="E5" s="89">
        <v>3.7</v>
      </c>
      <c r="F5" s="12" t="s">
        <v>87</v>
      </c>
      <c r="G5" s="88">
        <f>+G3-G4</f>
        <v>-768.75</v>
      </c>
      <c r="H5" s="11" t="s">
        <v>9</v>
      </c>
      <c r="I5" s="12">
        <f>+I3/(C4+C5)</f>
        <v>12.944983818770227</v>
      </c>
      <c r="J5" s="11" t="s">
        <v>10</v>
      </c>
      <c r="K5" s="12">
        <f>+K3/(C4+C5)</f>
        <v>12.944983818770227</v>
      </c>
      <c r="L5" s="11"/>
      <c r="M5" s="13"/>
    </row>
    <row r="6" spans="1:13" ht="18.75" customHeight="1" thickBot="1" x14ac:dyDescent="0.35">
      <c r="A6" s="4"/>
      <c r="B6" s="14"/>
      <c r="C6" s="15"/>
      <c r="H6" s="15"/>
      <c r="I6" s="15"/>
      <c r="J6" s="15"/>
      <c r="K6" s="15"/>
      <c r="L6" s="16"/>
      <c r="M6" s="17"/>
    </row>
    <row r="7" spans="1:13" s="2" customFormat="1" ht="18.75" customHeight="1" x14ac:dyDescent="0.3">
      <c r="A7" s="125" t="s">
        <v>11</v>
      </c>
      <c r="B7" s="113" t="s">
        <v>12</v>
      </c>
      <c r="C7" s="18" t="s">
        <v>13</v>
      </c>
      <c r="D7" s="18" t="s">
        <v>13</v>
      </c>
      <c r="E7" s="120" t="s">
        <v>14</v>
      </c>
      <c r="F7" s="18" t="s">
        <v>15</v>
      </c>
      <c r="G7" s="18" t="s">
        <v>16</v>
      </c>
      <c r="H7" s="19" t="s">
        <v>17</v>
      </c>
      <c r="I7" s="18" t="s">
        <v>18</v>
      </c>
      <c r="J7" s="19" t="s">
        <v>19</v>
      </c>
      <c r="K7" s="19" t="s">
        <v>19</v>
      </c>
      <c r="L7" s="20" t="s">
        <v>19</v>
      </c>
      <c r="M7" s="113" t="s">
        <v>20</v>
      </c>
    </row>
    <row r="8" spans="1:13" s="2" customFormat="1" ht="18.75" customHeight="1" thickBot="1" x14ac:dyDescent="0.35">
      <c r="A8" s="126"/>
      <c r="B8" s="114"/>
      <c r="C8" s="21" t="s">
        <v>21</v>
      </c>
      <c r="D8" s="21" t="s">
        <v>22</v>
      </c>
      <c r="E8" s="121"/>
      <c r="F8" s="22" t="s">
        <v>14</v>
      </c>
      <c r="G8" s="22"/>
      <c r="H8" s="23" t="s">
        <v>23</v>
      </c>
      <c r="I8" s="21" t="s">
        <v>24</v>
      </c>
      <c r="J8" s="23" t="s">
        <v>25</v>
      </c>
      <c r="K8" s="24" t="s">
        <v>26</v>
      </c>
      <c r="L8" s="25" t="s">
        <v>27</v>
      </c>
      <c r="M8" s="114"/>
    </row>
    <row r="9" spans="1:13" ht="18.75" customHeight="1" thickBot="1" x14ac:dyDescent="0.35">
      <c r="A9" s="122" t="s">
        <v>90</v>
      </c>
      <c r="B9" s="123"/>
      <c r="C9" s="26"/>
      <c r="D9" s="27"/>
      <c r="E9" s="27"/>
      <c r="F9" s="27"/>
      <c r="G9" s="27"/>
      <c r="H9" s="27"/>
      <c r="I9" s="26"/>
      <c r="J9" s="26"/>
      <c r="K9" s="26"/>
      <c r="L9" s="26"/>
      <c r="M9" s="26"/>
    </row>
    <row r="10" spans="1:13" ht="18.75" customHeight="1" x14ac:dyDescent="0.3">
      <c r="A10" s="28">
        <v>1</v>
      </c>
      <c r="B10" s="48" t="s">
        <v>107</v>
      </c>
      <c r="C10" s="45">
        <v>0.45</v>
      </c>
      <c r="D10" s="31">
        <f t="shared" ref="D10:D21" si="0">60*C10</f>
        <v>27</v>
      </c>
      <c r="E10" s="32">
        <f t="shared" ref="E10:E21" si="1">IFERROR(60/C10,"")</f>
        <v>133.33333333333334</v>
      </c>
      <c r="F10" s="33">
        <f t="shared" ref="F10:F21" si="2">+$K$3/($K$2/60)</f>
        <v>100</v>
      </c>
      <c r="G10" s="43" t="s">
        <v>28</v>
      </c>
      <c r="H10" s="46"/>
      <c r="I10" s="36">
        <f>IF(C10="","",($I$3/($I$2/60)*C10/60))</f>
        <v>0.75</v>
      </c>
      <c r="J10" s="37">
        <f t="shared" ref="J10:J21" si="3">IFERROR(IF(I10&lt;(MROUND(I10,1)+0.125),(MROUND(I10,1)),(CEILING(I10,1))),"")</f>
        <v>1</v>
      </c>
      <c r="K10" s="38">
        <f t="shared" ref="K10:K21" si="4">IFERROR(MROUND(I10,0.25),"")</f>
        <v>0.75</v>
      </c>
      <c r="L10" s="39"/>
      <c r="M10" s="44"/>
    </row>
    <row r="11" spans="1:13" ht="18.75" customHeight="1" x14ac:dyDescent="0.3">
      <c r="A11" s="28">
        <f>+A10+1</f>
        <v>2</v>
      </c>
      <c r="B11" s="48" t="s">
        <v>108</v>
      </c>
      <c r="C11" s="45">
        <v>0.6</v>
      </c>
      <c r="D11" s="31">
        <f t="shared" si="0"/>
        <v>36</v>
      </c>
      <c r="E11" s="32">
        <f t="shared" si="1"/>
        <v>100</v>
      </c>
      <c r="F11" s="33">
        <f t="shared" si="2"/>
        <v>100</v>
      </c>
      <c r="G11" s="46" t="s">
        <v>33</v>
      </c>
      <c r="H11" s="46"/>
      <c r="I11" s="36">
        <f t="shared" ref="I11:I21" si="5">IF(C11="","",($I$3/($I$2/60)*C11/60))</f>
        <v>1</v>
      </c>
      <c r="J11" s="37">
        <f t="shared" si="3"/>
        <v>1</v>
      </c>
      <c r="K11" s="38">
        <f t="shared" si="4"/>
        <v>1</v>
      </c>
      <c r="L11" s="39"/>
      <c r="M11" s="44"/>
    </row>
    <row r="12" spans="1:13" ht="18.75" customHeight="1" x14ac:dyDescent="0.3">
      <c r="A12" s="28">
        <f t="shared" ref="A12:A20" si="6">+A11+1</f>
        <v>3</v>
      </c>
      <c r="B12" s="48" t="s">
        <v>109</v>
      </c>
      <c r="C12" s="45">
        <v>1.2</v>
      </c>
      <c r="D12" s="31">
        <f t="shared" si="0"/>
        <v>72</v>
      </c>
      <c r="E12" s="32">
        <f t="shared" si="1"/>
        <v>50</v>
      </c>
      <c r="F12" s="33">
        <f t="shared" si="2"/>
        <v>100</v>
      </c>
      <c r="G12" s="46" t="s">
        <v>30</v>
      </c>
      <c r="H12" s="46"/>
      <c r="I12" s="36">
        <f t="shared" si="5"/>
        <v>2</v>
      </c>
      <c r="J12" s="37">
        <f t="shared" si="3"/>
        <v>2</v>
      </c>
      <c r="K12" s="38">
        <f t="shared" si="4"/>
        <v>2</v>
      </c>
      <c r="L12" s="39"/>
      <c r="M12" s="44"/>
    </row>
    <row r="13" spans="1:13" ht="18.75" customHeight="1" x14ac:dyDescent="0.3">
      <c r="A13" s="28">
        <f t="shared" si="6"/>
        <v>4</v>
      </c>
      <c r="B13" s="48" t="s">
        <v>110</v>
      </c>
      <c r="C13" s="45">
        <v>1.2</v>
      </c>
      <c r="D13" s="31">
        <f t="shared" ref="D13:D14" si="7">60*C13</f>
        <v>72</v>
      </c>
      <c r="E13" s="32">
        <f t="shared" ref="E13:E14" si="8">IFERROR(60/C13,"")</f>
        <v>50</v>
      </c>
      <c r="F13" s="33">
        <f t="shared" si="2"/>
        <v>100</v>
      </c>
      <c r="G13" s="46" t="s">
        <v>30</v>
      </c>
      <c r="H13" s="46"/>
      <c r="I13" s="36">
        <f t="shared" si="5"/>
        <v>2</v>
      </c>
      <c r="J13" s="37">
        <f t="shared" ref="J13:J14" si="9">IFERROR(IF(I13&lt;(MROUND(I13,1)+0.125),(MROUND(I13,1)),(CEILING(I13,1))),"")</f>
        <v>2</v>
      </c>
      <c r="K13" s="38">
        <f t="shared" ref="K13:K14" si="10">IFERROR(MROUND(I13,0.25),"")</f>
        <v>2</v>
      </c>
      <c r="L13" s="39"/>
      <c r="M13" s="44"/>
    </row>
    <row r="14" spans="1:13" ht="18.75" customHeight="1" x14ac:dyDescent="0.3">
      <c r="A14" s="28">
        <f t="shared" si="6"/>
        <v>5</v>
      </c>
      <c r="B14" s="48" t="s">
        <v>111</v>
      </c>
      <c r="C14" s="45">
        <v>0.6</v>
      </c>
      <c r="D14" s="31">
        <f t="shared" si="7"/>
        <v>36</v>
      </c>
      <c r="E14" s="32">
        <f t="shared" si="8"/>
        <v>100</v>
      </c>
      <c r="F14" s="33">
        <f t="shared" si="2"/>
        <v>100</v>
      </c>
      <c r="G14" s="46" t="s">
        <v>72</v>
      </c>
      <c r="H14" s="46"/>
      <c r="I14" s="36">
        <f t="shared" si="5"/>
        <v>1</v>
      </c>
      <c r="J14" s="37">
        <f t="shared" si="9"/>
        <v>1</v>
      </c>
      <c r="K14" s="38">
        <f t="shared" si="10"/>
        <v>1</v>
      </c>
      <c r="L14" s="39"/>
      <c r="M14" s="44"/>
    </row>
    <row r="15" spans="1:13" ht="18.75" customHeight="1" x14ac:dyDescent="0.3">
      <c r="A15" s="28">
        <f t="shared" si="6"/>
        <v>6</v>
      </c>
      <c r="B15" s="48" t="s">
        <v>112</v>
      </c>
      <c r="C15" s="45">
        <v>0.65</v>
      </c>
      <c r="D15" s="31">
        <f t="shared" si="0"/>
        <v>39</v>
      </c>
      <c r="E15" s="32">
        <f t="shared" si="1"/>
        <v>92.307692307692307</v>
      </c>
      <c r="F15" s="33">
        <f t="shared" si="2"/>
        <v>100</v>
      </c>
      <c r="G15" s="46" t="s">
        <v>28</v>
      </c>
      <c r="H15" s="46"/>
      <c r="I15" s="36">
        <f t="shared" si="5"/>
        <v>1.0833333333333333</v>
      </c>
      <c r="J15" s="37">
        <f t="shared" si="3"/>
        <v>1</v>
      </c>
      <c r="K15" s="38">
        <f t="shared" si="4"/>
        <v>1</v>
      </c>
      <c r="L15" s="39"/>
      <c r="M15" s="44"/>
    </row>
    <row r="16" spans="1:13" ht="18.75" customHeight="1" x14ac:dyDescent="0.3">
      <c r="A16" s="28">
        <f t="shared" si="6"/>
        <v>7</v>
      </c>
      <c r="B16" s="48" t="s">
        <v>113</v>
      </c>
      <c r="C16" s="45">
        <v>0.45</v>
      </c>
      <c r="D16" s="31">
        <f t="shared" si="0"/>
        <v>27</v>
      </c>
      <c r="E16" s="32">
        <f t="shared" si="1"/>
        <v>133.33333333333334</v>
      </c>
      <c r="F16" s="33">
        <f t="shared" si="2"/>
        <v>100</v>
      </c>
      <c r="G16" s="46" t="s">
        <v>33</v>
      </c>
      <c r="H16" s="46"/>
      <c r="I16" s="36">
        <f t="shared" si="5"/>
        <v>0.75</v>
      </c>
      <c r="J16" s="37">
        <f t="shared" si="3"/>
        <v>1</v>
      </c>
      <c r="K16" s="38">
        <f t="shared" si="4"/>
        <v>0.75</v>
      </c>
      <c r="L16" s="39"/>
      <c r="M16" s="44"/>
    </row>
    <row r="17" spans="1:13" ht="18.75" customHeight="1" x14ac:dyDescent="0.3">
      <c r="A17" s="28">
        <f t="shared" si="6"/>
        <v>8</v>
      </c>
      <c r="B17" s="48" t="s">
        <v>114</v>
      </c>
      <c r="C17" s="45">
        <v>1.2</v>
      </c>
      <c r="D17" s="31">
        <f t="shared" ref="D17:D18" si="11">60*C17</f>
        <v>72</v>
      </c>
      <c r="E17" s="32">
        <f t="shared" ref="E17:E18" si="12">IFERROR(60/C17,"")</f>
        <v>50</v>
      </c>
      <c r="F17" s="33">
        <f t="shared" si="2"/>
        <v>100</v>
      </c>
      <c r="G17" s="46" t="s">
        <v>30</v>
      </c>
      <c r="H17" s="46"/>
      <c r="I17" s="36">
        <f t="shared" si="5"/>
        <v>2</v>
      </c>
      <c r="J17" s="37">
        <f t="shared" ref="J17:J18" si="13">IFERROR(IF(I17&lt;(MROUND(I17,1)+0.125),(MROUND(I17,1)),(CEILING(I17,1))),"")</f>
        <v>2</v>
      </c>
      <c r="K17" s="38">
        <f t="shared" ref="K17:K18" si="14">IFERROR(MROUND(I17,0.25),"")</f>
        <v>2</v>
      </c>
      <c r="L17" s="39"/>
      <c r="M17" s="44"/>
    </row>
    <row r="18" spans="1:13" ht="18.75" customHeight="1" x14ac:dyDescent="0.3">
      <c r="A18" s="28">
        <f t="shared" si="6"/>
        <v>9</v>
      </c>
      <c r="B18" s="48" t="s">
        <v>115</v>
      </c>
      <c r="C18" s="45">
        <v>0.35</v>
      </c>
      <c r="D18" s="31">
        <f t="shared" si="11"/>
        <v>21</v>
      </c>
      <c r="E18" s="32">
        <f t="shared" si="12"/>
        <v>171.42857142857144</v>
      </c>
      <c r="F18" s="33">
        <f t="shared" si="2"/>
        <v>100</v>
      </c>
      <c r="G18" s="46" t="s">
        <v>72</v>
      </c>
      <c r="H18" s="46"/>
      <c r="I18" s="36">
        <f t="shared" si="5"/>
        <v>0.58333333333333337</v>
      </c>
      <c r="J18" s="37">
        <f t="shared" si="13"/>
        <v>1</v>
      </c>
      <c r="K18" s="38">
        <f t="shared" si="14"/>
        <v>0.5</v>
      </c>
      <c r="L18" s="39"/>
      <c r="M18" s="44"/>
    </row>
    <row r="19" spans="1:13" ht="18.75" customHeight="1" x14ac:dyDescent="0.3">
      <c r="A19" s="28">
        <f t="shared" si="6"/>
        <v>10</v>
      </c>
      <c r="B19" s="48" t="s">
        <v>116</v>
      </c>
      <c r="C19" s="45">
        <v>0.35</v>
      </c>
      <c r="D19" s="31">
        <f t="shared" si="0"/>
        <v>21</v>
      </c>
      <c r="E19" s="32">
        <f t="shared" si="1"/>
        <v>171.42857142857144</v>
      </c>
      <c r="F19" s="33">
        <f t="shared" si="2"/>
        <v>100</v>
      </c>
      <c r="G19" s="46" t="s">
        <v>29</v>
      </c>
      <c r="H19" s="46"/>
      <c r="I19" s="36">
        <f t="shared" si="5"/>
        <v>0.58333333333333337</v>
      </c>
      <c r="J19" s="37">
        <f t="shared" si="3"/>
        <v>1</v>
      </c>
      <c r="K19" s="38">
        <f t="shared" si="4"/>
        <v>0.5</v>
      </c>
      <c r="L19" s="39"/>
      <c r="M19" s="44"/>
    </row>
    <row r="20" spans="1:13" ht="18.75" customHeight="1" x14ac:dyDescent="0.3">
      <c r="A20" s="28">
        <f t="shared" si="6"/>
        <v>11</v>
      </c>
      <c r="B20" s="48" t="s">
        <v>118</v>
      </c>
      <c r="C20" s="45">
        <v>0.2</v>
      </c>
      <c r="D20" s="31">
        <f t="shared" si="0"/>
        <v>12</v>
      </c>
      <c r="E20" s="32">
        <f t="shared" si="1"/>
        <v>300</v>
      </c>
      <c r="F20" s="33">
        <f t="shared" si="2"/>
        <v>100</v>
      </c>
      <c r="G20" s="46" t="s">
        <v>33</v>
      </c>
      <c r="H20" s="46"/>
      <c r="I20" s="36">
        <f t="shared" si="5"/>
        <v>0.33333333333333331</v>
      </c>
      <c r="J20" s="37">
        <f t="shared" si="3"/>
        <v>1</v>
      </c>
      <c r="K20" s="38">
        <f t="shared" si="4"/>
        <v>0.25</v>
      </c>
      <c r="L20" s="39"/>
      <c r="M20" s="44"/>
    </row>
    <row r="21" spans="1:13" ht="18.75" customHeight="1" thickBot="1" x14ac:dyDescent="0.35">
      <c r="A21" s="28">
        <f t="shared" ref="A21" si="15">+A20+1</f>
        <v>12</v>
      </c>
      <c r="B21" s="48" t="s">
        <v>117</v>
      </c>
      <c r="C21" s="45">
        <v>0.55000000000000004</v>
      </c>
      <c r="D21" s="31">
        <f t="shared" si="0"/>
        <v>33</v>
      </c>
      <c r="E21" s="32">
        <f t="shared" si="1"/>
        <v>109.09090909090908</v>
      </c>
      <c r="F21" s="33">
        <f t="shared" si="2"/>
        <v>100</v>
      </c>
      <c r="G21" s="46" t="s">
        <v>35</v>
      </c>
      <c r="H21" s="46"/>
      <c r="I21" s="36">
        <f t="shared" si="5"/>
        <v>0.91666666666666674</v>
      </c>
      <c r="J21" s="37">
        <f t="shared" si="3"/>
        <v>1</v>
      </c>
      <c r="K21" s="38">
        <f t="shared" si="4"/>
        <v>1</v>
      </c>
      <c r="L21" s="39"/>
      <c r="M21" s="44"/>
    </row>
    <row r="22" spans="1:13" ht="18.75" customHeight="1" thickBot="1" x14ac:dyDescent="0.35">
      <c r="A22" s="122" t="s">
        <v>88</v>
      </c>
      <c r="B22" s="123"/>
      <c r="C22" s="26">
        <f>SUM(C10:C21)</f>
        <v>7.8</v>
      </c>
      <c r="D22" s="27"/>
      <c r="E22" s="27"/>
      <c r="F22" s="27"/>
      <c r="G22" s="27"/>
      <c r="H22" s="27"/>
      <c r="I22" s="26">
        <f>SUM(I10:I21)</f>
        <v>13</v>
      </c>
      <c r="J22" s="26">
        <f>SUM(J10:J21)</f>
        <v>15</v>
      </c>
      <c r="K22" s="26">
        <f>SUM(K10:K21)</f>
        <v>12.75</v>
      </c>
      <c r="L22" s="26">
        <f>SUM(L10:L21)</f>
        <v>0</v>
      </c>
      <c r="M22" s="26"/>
    </row>
    <row r="23" spans="1:13" ht="18.75" customHeight="1" x14ac:dyDescent="0.3">
      <c r="A23" s="28">
        <f>+A21+1</f>
        <v>13</v>
      </c>
      <c r="B23" s="48" t="s">
        <v>119</v>
      </c>
      <c r="C23" s="45">
        <v>0.55000000000000004</v>
      </c>
      <c r="D23" s="31">
        <f t="shared" ref="D23:D38" si="16">60*C23</f>
        <v>33</v>
      </c>
      <c r="E23" s="32">
        <f t="shared" ref="E23:E38" si="17">IFERROR(60/C23,"")</f>
        <v>109.09090909090908</v>
      </c>
      <c r="F23" s="33">
        <f t="shared" ref="F23:F38" si="18">+$K$3/($K$2/60)</f>
        <v>100</v>
      </c>
      <c r="G23" s="43" t="s">
        <v>28</v>
      </c>
      <c r="H23" s="46"/>
      <c r="I23" s="36">
        <f t="shared" ref="I23:I38" si="19">IF(C23="","",($I$3/($I$2/60)*C23/60))</f>
        <v>0.91666666666666674</v>
      </c>
      <c r="J23" s="37">
        <f t="shared" ref="J23:J38" si="20">IFERROR(IF(I23&lt;(MROUND(I23,1)+0.125),(MROUND(I23,1)),(CEILING(I23,1))),"")</f>
        <v>1</v>
      </c>
      <c r="K23" s="38">
        <f t="shared" ref="K23:K38" si="21">IFERROR(MROUND(I23,0.25),"")</f>
        <v>1</v>
      </c>
      <c r="L23" s="39"/>
      <c r="M23" s="44"/>
    </row>
    <row r="24" spans="1:13" ht="18.75" customHeight="1" x14ac:dyDescent="0.3">
      <c r="A24" s="28">
        <f t="shared" ref="A24:A38" si="22">+A23+1</f>
        <v>14</v>
      </c>
      <c r="B24" s="48" t="s">
        <v>120</v>
      </c>
      <c r="C24" s="45">
        <v>0.55000000000000004</v>
      </c>
      <c r="D24" s="31">
        <f t="shared" si="16"/>
        <v>33</v>
      </c>
      <c r="E24" s="32">
        <f t="shared" si="17"/>
        <v>109.09090909090908</v>
      </c>
      <c r="F24" s="33">
        <f t="shared" si="18"/>
        <v>100</v>
      </c>
      <c r="G24" s="46" t="s">
        <v>30</v>
      </c>
      <c r="H24" s="46"/>
      <c r="I24" s="36">
        <f t="shared" si="19"/>
        <v>0.91666666666666674</v>
      </c>
      <c r="J24" s="37">
        <f t="shared" si="20"/>
        <v>1</v>
      </c>
      <c r="K24" s="38">
        <f t="shared" si="21"/>
        <v>1</v>
      </c>
      <c r="L24" s="39"/>
      <c r="M24" s="44"/>
    </row>
    <row r="25" spans="1:13" ht="18.75" customHeight="1" x14ac:dyDescent="0.3">
      <c r="A25" s="28">
        <f t="shared" si="22"/>
        <v>15</v>
      </c>
      <c r="B25" s="48" t="s">
        <v>121</v>
      </c>
      <c r="C25" s="45">
        <v>0.55000000000000004</v>
      </c>
      <c r="D25" s="31">
        <f t="shared" si="16"/>
        <v>33</v>
      </c>
      <c r="E25" s="32">
        <f t="shared" si="17"/>
        <v>109.09090909090908</v>
      </c>
      <c r="F25" s="33">
        <f t="shared" si="18"/>
        <v>100</v>
      </c>
      <c r="G25" s="46" t="s">
        <v>30</v>
      </c>
      <c r="H25" s="46"/>
      <c r="I25" s="36">
        <f t="shared" si="19"/>
        <v>0.91666666666666674</v>
      </c>
      <c r="J25" s="37">
        <f t="shared" si="20"/>
        <v>1</v>
      </c>
      <c r="K25" s="38">
        <f t="shared" si="21"/>
        <v>1</v>
      </c>
      <c r="L25" s="39"/>
      <c r="M25" s="44"/>
    </row>
    <row r="26" spans="1:13" ht="18.75" customHeight="1" x14ac:dyDescent="0.3">
      <c r="A26" s="28">
        <f t="shared" si="22"/>
        <v>16</v>
      </c>
      <c r="B26" s="48" t="s">
        <v>122</v>
      </c>
      <c r="C26" s="45">
        <v>0.4</v>
      </c>
      <c r="D26" s="31">
        <f t="shared" si="16"/>
        <v>24</v>
      </c>
      <c r="E26" s="32">
        <f t="shared" si="17"/>
        <v>150</v>
      </c>
      <c r="F26" s="33">
        <f t="shared" si="18"/>
        <v>100</v>
      </c>
      <c r="G26" s="46" t="s">
        <v>30</v>
      </c>
      <c r="H26" s="46" t="s">
        <v>123</v>
      </c>
      <c r="I26" s="36">
        <f t="shared" si="19"/>
        <v>0.66666666666666663</v>
      </c>
      <c r="J26" s="37">
        <f t="shared" si="20"/>
        <v>1</v>
      </c>
      <c r="K26" s="38">
        <f t="shared" si="21"/>
        <v>0.75</v>
      </c>
      <c r="L26" s="39"/>
      <c r="M26" s="44"/>
    </row>
    <row r="27" spans="1:13" ht="18.75" customHeight="1" x14ac:dyDescent="0.3">
      <c r="A27" s="28">
        <f t="shared" si="22"/>
        <v>17</v>
      </c>
      <c r="B27" s="48" t="s">
        <v>110</v>
      </c>
      <c r="C27" s="45">
        <v>0.55000000000000004</v>
      </c>
      <c r="D27" s="31">
        <f t="shared" si="16"/>
        <v>33</v>
      </c>
      <c r="E27" s="32">
        <f t="shared" si="17"/>
        <v>109.09090909090908</v>
      </c>
      <c r="F27" s="33">
        <f t="shared" si="18"/>
        <v>100</v>
      </c>
      <c r="G27" s="46" t="s">
        <v>30</v>
      </c>
      <c r="H27" s="46"/>
      <c r="I27" s="36">
        <f t="shared" si="19"/>
        <v>0.91666666666666674</v>
      </c>
      <c r="J27" s="37">
        <f t="shared" si="20"/>
        <v>1</v>
      </c>
      <c r="K27" s="38">
        <f t="shared" si="21"/>
        <v>1</v>
      </c>
      <c r="L27" s="39"/>
      <c r="M27" s="44"/>
    </row>
    <row r="28" spans="1:13" ht="18.75" customHeight="1" x14ac:dyDescent="0.3">
      <c r="A28" s="28">
        <f t="shared" si="22"/>
        <v>18</v>
      </c>
      <c r="B28" s="48" t="s">
        <v>124</v>
      </c>
      <c r="C28" s="45">
        <v>0.55000000000000004</v>
      </c>
      <c r="D28" s="31">
        <f t="shared" si="16"/>
        <v>33</v>
      </c>
      <c r="E28" s="32">
        <f t="shared" si="17"/>
        <v>109.09090909090908</v>
      </c>
      <c r="F28" s="33">
        <f t="shared" si="18"/>
        <v>100</v>
      </c>
      <c r="G28" s="46" t="s">
        <v>72</v>
      </c>
      <c r="H28" s="46"/>
      <c r="I28" s="36">
        <f t="shared" si="19"/>
        <v>0.91666666666666674</v>
      </c>
      <c r="J28" s="37">
        <f t="shared" si="20"/>
        <v>1</v>
      </c>
      <c r="K28" s="38">
        <f t="shared" si="21"/>
        <v>1</v>
      </c>
      <c r="L28" s="39"/>
      <c r="M28" s="44"/>
    </row>
    <row r="29" spans="1:13" ht="18.75" customHeight="1" x14ac:dyDescent="0.3">
      <c r="A29" s="28">
        <f t="shared" si="22"/>
        <v>19</v>
      </c>
      <c r="B29" s="48" t="s">
        <v>125</v>
      </c>
      <c r="C29" s="45">
        <v>0.5</v>
      </c>
      <c r="D29" s="31">
        <f t="shared" si="16"/>
        <v>30</v>
      </c>
      <c r="E29" s="32">
        <f t="shared" si="17"/>
        <v>120</v>
      </c>
      <c r="F29" s="33">
        <f t="shared" si="18"/>
        <v>100</v>
      </c>
      <c r="G29" s="46" t="s">
        <v>30</v>
      </c>
      <c r="H29" s="46"/>
      <c r="I29" s="36">
        <f t="shared" si="19"/>
        <v>0.83333333333333337</v>
      </c>
      <c r="J29" s="37">
        <f t="shared" si="20"/>
        <v>1</v>
      </c>
      <c r="K29" s="38">
        <f t="shared" si="21"/>
        <v>0.75</v>
      </c>
      <c r="L29" s="39"/>
      <c r="M29" s="44"/>
    </row>
    <row r="30" spans="1:13" ht="18.75" customHeight="1" x14ac:dyDescent="0.3">
      <c r="A30" s="28">
        <f t="shared" si="22"/>
        <v>20</v>
      </c>
      <c r="B30" s="48" t="s">
        <v>126</v>
      </c>
      <c r="C30" s="45">
        <v>0.65</v>
      </c>
      <c r="D30" s="31">
        <f t="shared" si="16"/>
        <v>39</v>
      </c>
      <c r="E30" s="32">
        <f t="shared" si="17"/>
        <v>92.307692307692307</v>
      </c>
      <c r="F30" s="33">
        <f t="shared" si="18"/>
        <v>100</v>
      </c>
      <c r="G30" s="46" t="s">
        <v>30</v>
      </c>
      <c r="H30" s="46"/>
      <c r="I30" s="36">
        <f t="shared" si="19"/>
        <v>1.0833333333333333</v>
      </c>
      <c r="J30" s="37">
        <f t="shared" si="20"/>
        <v>1</v>
      </c>
      <c r="K30" s="38">
        <f t="shared" si="21"/>
        <v>1</v>
      </c>
      <c r="L30" s="39"/>
      <c r="M30" s="44"/>
    </row>
    <row r="31" spans="1:13" ht="18.75" customHeight="1" x14ac:dyDescent="0.3">
      <c r="A31" s="28">
        <f t="shared" si="22"/>
        <v>21</v>
      </c>
      <c r="B31" s="48" t="s">
        <v>127</v>
      </c>
      <c r="C31" s="45">
        <v>0.35</v>
      </c>
      <c r="D31" s="31">
        <f t="shared" si="16"/>
        <v>21</v>
      </c>
      <c r="E31" s="32">
        <f t="shared" si="17"/>
        <v>171.42857142857144</v>
      </c>
      <c r="F31" s="33">
        <f t="shared" si="18"/>
        <v>100</v>
      </c>
      <c r="G31" s="46" t="s">
        <v>28</v>
      </c>
      <c r="H31" s="46"/>
      <c r="I31" s="36">
        <f t="shared" si="19"/>
        <v>0.58333333333333337</v>
      </c>
      <c r="J31" s="37">
        <f t="shared" si="20"/>
        <v>1</v>
      </c>
      <c r="K31" s="38">
        <f t="shared" si="21"/>
        <v>0.5</v>
      </c>
      <c r="L31" s="39"/>
      <c r="M31" s="44"/>
    </row>
    <row r="32" spans="1:13" ht="18.75" customHeight="1" x14ac:dyDescent="0.3">
      <c r="A32" s="28">
        <f t="shared" si="22"/>
        <v>22</v>
      </c>
      <c r="B32" s="48" t="s">
        <v>128</v>
      </c>
      <c r="C32" s="45">
        <v>0.45</v>
      </c>
      <c r="D32" s="31">
        <f t="shared" si="16"/>
        <v>27</v>
      </c>
      <c r="E32" s="32">
        <f t="shared" si="17"/>
        <v>133.33333333333334</v>
      </c>
      <c r="F32" s="33">
        <f t="shared" si="18"/>
        <v>100</v>
      </c>
      <c r="G32" s="46" t="s">
        <v>30</v>
      </c>
      <c r="H32" s="46"/>
      <c r="I32" s="36">
        <f t="shared" si="19"/>
        <v>0.75</v>
      </c>
      <c r="J32" s="37">
        <f t="shared" si="20"/>
        <v>1</v>
      </c>
      <c r="K32" s="38">
        <f t="shared" si="21"/>
        <v>0.75</v>
      </c>
      <c r="L32" s="39"/>
      <c r="M32" s="44"/>
    </row>
    <row r="33" spans="1:13" ht="18.75" customHeight="1" x14ac:dyDescent="0.3">
      <c r="A33" s="28">
        <f t="shared" si="22"/>
        <v>23</v>
      </c>
      <c r="B33" s="48" t="s">
        <v>129</v>
      </c>
      <c r="C33" s="45">
        <v>0.6</v>
      </c>
      <c r="D33" s="31">
        <f t="shared" si="16"/>
        <v>36</v>
      </c>
      <c r="E33" s="32">
        <f t="shared" si="17"/>
        <v>100</v>
      </c>
      <c r="F33" s="33">
        <f t="shared" si="18"/>
        <v>100</v>
      </c>
      <c r="G33" s="46" t="s">
        <v>72</v>
      </c>
      <c r="H33" s="46"/>
      <c r="I33" s="36">
        <f t="shared" si="19"/>
        <v>1</v>
      </c>
      <c r="J33" s="37">
        <f t="shared" si="20"/>
        <v>1</v>
      </c>
      <c r="K33" s="38">
        <f t="shared" si="21"/>
        <v>1</v>
      </c>
      <c r="L33" s="39"/>
      <c r="M33" s="44"/>
    </row>
    <row r="34" spans="1:13" ht="18.75" customHeight="1" x14ac:dyDescent="0.3">
      <c r="A34" s="28">
        <f t="shared" si="22"/>
        <v>24</v>
      </c>
      <c r="B34" s="101" t="s">
        <v>130</v>
      </c>
      <c r="C34" s="45">
        <v>0.35</v>
      </c>
      <c r="D34" s="31">
        <f t="shared" si="16"/>
        <v>21</v>
      </c>
      <c r="E34" s="32">
        <f t="shared" si="17"/>
        <v>171.42857142857144</v>
      </c>
      <c r="F34" s="33">
        <f t="shared" si="18"/>
        <v>100</v>
      </c>
      <c r="G34" s="46" t="s">
        <v>30</v>
      </c>
      <c r="H34" s="46"/>
      <c r="I34" s="36">
        <f t="shared" si="19"/>
        <v>0.58333333333333337</v>
      </c>
      <c r="J34" s="37">
        <f t="shared" si="20"/>
        <v>1</v>
      </c>
      <c r="K34" s="38">
        <f t="shared" si="21"/>
        <v>0.5</v>
      </c>
      <c r="L34" s="39"/>
      <c r="M34" s="44"/>
    </row>
    <row r="35" spans="1:13" ht="18.75" customHeight="1" x14ac:dyDescent="0.3">
      <c r="A35" s="28">
        <f t="shared" si="22"/>
        <v>25</v>
      </c>
      <c r="B35" s="101" t="s">
        <v>131</v>
      </c>
      <c r="C35" s="45">
        <v>0.45</v>
      </c>
      <c r="D35" s="31">
        <f t="shared" si="16"/>
        <v>27</v>
      </c>
      <c r="E35" s="32">
        <f t="shared" si="17"/>
        <v>133.33333333333334</v>
      </c>
      <c r="F35" s="33">
        <f t="shared" si="18"/>
        <v>100</v>
      </c>
      <c r="G35" s="46" t="s">
        <v>30</v>
      </c>
      <c r="H35" s="46"/>
      <c r="I35" s="36">
        <f t="shared" si="19"/>
        <v>0.75</v>
      </c>
      <c r="J35" s="37">
        <f t="shared" si="20"/>
        <v>1</v>
      </c>
      <c r="K35" s="38">
        <f t="shared" si="21"/>
        <v>0.75</v>
      </c>
      <c r="L35" s="39"/>
      <c r="M35" s="44"/>
    </row>
    <row r="36" spans="1:13" ht="18.75" customHeight="1" x14ac:dyDescent="0.3">
      <c r="A36" s="28">
        <f t="shared" si="22"/>
        <v>26</v>
      </c>
      <c r="B36" s="101" t="s">
        <v>132</v>
      </c>
      <c r="C36" s="45">
        <v>0.35</v>
      </c>
      <c r="D36" s="31">
        <f t="shared" si="16"/>
        <v>21</v>
      </c>
      <c r="E36" s="32">
        <f t="shared" si="17"/>
        <v>171.42857142857144</v>
      </c>
      <c r="F36" s="33">
        <f t="shared" si="18"/>
        <v>100</v>
      </c>
      <c r="G36" s="46" t="s">
        <v>30</v>
      </c>
      <c r="H36" s="46"/>
      <c r="I36" s="36">
        <f t="shared" si="19"/>
        <v>0.58333333333333337</v>
      </c>
      <c r="J36" s="37">
        <f t="shared" si="20"/>
        <v>1</v>
      </c>
      <c r="K36" s="38">
        <f t="shared" si="21"/>
        <v>0.5</v>
      </c>
      <c r="L36" s="39"/>
      <c r="M36" s="44"/>
    </row>
    <row r="37" spans="1:13" ht="18.75" customHeight="1" x14ac:dyDescent="0.3">
      <c r="A37" s="28">
        <f t="shared" si="22"/>
        <v>27</v>
      </c>
      <c r="B37" s="101" t="s">
        <v>133</v>
      </c>
      <c r="C37" s="45">
        <v>0.45</v>
      </c>
      <c r="D37" s="31">
        <f t="shared" si="16"/>
        <v>27</v>
      </c>
      <c r="E37" s="32">
        <f t="shared" si="17"/>
        <v>133.33333333333334</v>
      </c>
      <c r="F37" s="33">
        <f t="shared" si="18"/>
        <v>100</v>
      </c>
      <c r="G37" s="46" t="s">
        <v>65</v>
      </c>
      <c r="H37" s="46"/>
      <c r="I37" s="36">
        <f t="shared" si="19"/>
        <v>0.75</v>
      </c>
      <c r="J37" s="37">
        <f t="shared" si="20"/>
        <v>1</v>
      </c>
      <c r="K37" s="38">
        <f t="shared" si="21"/>
        <v>0.75</v>
      </c>
      <c r="L37" s="39"/>
      <c r="M37" s="44"/>
    </row>
    <row r="38" spans="1:13" ht="18.75" customHeight="1" thickBot="1" x14ac:dyDescent="0.35">
      <c r="A38" s="28">
        <f t="shared" si="22"/>
        <v>28</v>
      </c>
      <c r="B38" s="102" t="s">
        <v>134</v>
      </c>
      <c r="C38" s="45">
        <v>0.8</v>
      </c>
      <c r="D38" s="31">
        <f t="shared" si="16"/>
        <v>48</v>
      </c>
      <c r="E38" s="32">
        <f t="shared" si="17"/>
        <v>75</v>
      </c>
      <c r="F38" s="33">
        <f t="shared" si="18"/>
        <v>100</v>
      </c>
      <c r="G38" s="46" t="s">
        <v>35</v>
      </c>
      <c r="H38" s="46"/>
      <c r="I38" s="36">
        <f t="shared" si="19"/>
        <v>1.3333333333333333</v>
      </c>
      <c r="J38" s="37">
        <f t="shared" si="20"/>
        <v>2</v>
      </c>
      <c r="K38" s="38">
        <f t="shared" si="21"/>
        <v>1.25</v>
      </c>
      <c r="L38" s="39"/>
      <c r="M38" s="44"/>
    </row>
    <row r="39" spans="1:13" ht="18.75" customHeight="1" thickBot="1" x14ac:dyDescent="0.35">
      <c r="A39" s="122" t="s">
        <v>89</v>
      </c>
      <c r="B39" s="123"/>
      <c r="C39" s="26">
        <f>SUM(C23:C38)</f>
        <v>8.1</v>
      </c>
      <c r="D39" s="27"/>
      <c r="E39" s="27"/>
      <c r="F39" s="27"/>
      <c r="G39" s="27"/>
      <c r="H39" s="27"/>
      <c r="I39" s="26">
        <f>SUM(I23:I38)</f>
        <v>13.500000000000002</v>
      </c>
      <c r="J39" s="26">
        <f>SUM(J23:J38)</f>
        <v>17</v>
      </c>
      <c r="K39" s="26">
        <f>SUM(K23:K38)</f>
        <v>13.5</v>
      </c>
      <c r="L39" s="26">
        <f>SUM(L23:L38)</f>
        <v>0</v>
      </c>
      <c r="M39" s="26"/>
    </row>
    <row r="40" spans="1:13" ht="18.75" customHeight="1" x14ac:dyDescent="0.3">
      <c r="A40" s="28">
        <f>+A38+1</f>
        <v>29</v>
      </c>
      <c r="B40" s="48" t="s">
        <v>135</v>
      </c>
      <c r="C40" s="45">
        <v>0.7</v>
      </c>
      <c r="D40" s="31">
        <f t="shared" ref="D40:D90" si="23">60*C40</f>
        <v>42</v>
      </c>
      <c r="E40" s="32">
        <f t="shared" ref="E40:E91" si="24">IFERROR(60/C40,"")</f>
        <v>85.714285714285722</v>
      </c>
      <c r="F40" s="33">
        <f t="shared" ref="F40:F91" si="25">+$K$3/($K$2/60)</f>
        <v>100</v>
      </c>
      <c r="G40" s="43" t="s">
        <v>72</v>
      </c>
      <c r="H40" s="46"/>
      <c r="I40" s="36">
        <f t="shared" ref="I40:I91" si="26">IF(C40="","",($I$3/($I$2/60)*C40/60))</f>
        <v>1.1666666666666667</v>
      </c>
      <c r="J40" s="37">
        <f t="shared" ref="J40:J91" si="27">IFERROR(IF(I40&lt;(MROUND(I40,1)+0.125),(MROUND(I40,1)),(CEILING(I40,1))),"")</f>
        <v>2</v>
      </c>
      <c r="K40" s="38">
        <f t="shared" ref="K40:K91" si="28">IFERROR(MROUND(I40,0.25),"")</f>
        <v>1.25</v>
      </c>
      <c r="L40" s="39"/>
      <c r="M40" s="44"/>
    </row>
    <row r="41" spans="1:13" ht="18.75" customHeight="1" x14ac:dyDescent="0.3">
      <c r="A41" s="28">
        <f t="shared" ref="A41:A89" si="29">+A40+1</f>
        <v>30</v>
      </c>
      <c r="B41" s="48" t="s">
        <v>136</v>
      </c>
      <c r="C41" s="45">
        <v>0.65</v>
      </c>
      <c r="D41" s="31">
        <f t="shared" si="23"/>
        <v>39</v>
      </c>
      <c r="E41" s="32">
        <f t="shared" si="24"/>
        <v>92.307692307692307</v>
      </c>
      <c r="F41" s="33">
        <f t="shared" si="25"/>
        <v>100</v>
      </c>
      <c r="G41" s="46" t="s">
        <v>29</v>
      </c>
      <c r="H41" s="46"/>
      <c r="I41" s="36">
        <f t="shared" si="26"/>
        <v>1.0833333333333333</v>
      </c>
      <c r="J41" s="37">
        <f t="shared" si="27"/>
        <v>1</v>
      </c>
      <c r="K41" s="38">
        <f t="shared" si="28"/>
        <v>1</v>
      </c>
      <c r="L41" s="39"/>
      <c r="M41" s="44"/>
    </row>
    <row r="42" spans="1:13" ht="18.75" customHeight="1" x14ac:dyDescent="0.3">
      <c r="A42" s="28"/>
      <c r="B42" s="103" t="s">
        <v>137</v>
      </c>
      <c r="C42" s="45"/>
      <c r="D42" s="31"/>
      <c r="E42" s="32"/>
      <c r="F42" s="33"/>
      <c r="G42" s="46"/>
      <c r="H42" s="46"/>
      <c r="I42" s="36"/>
      <c r="J42" s="37"/>
      <c r="K42" s="38"/>
      <c r="L42" s="39"/>
      <c r="M42" s="44"/>
    </row>
    <row r="43" spans="1:13" ht="18.75" customHeight="1" x14ac:dyDescent="0.3">
      <c r="A43" s="28">
        <f>+A41+1</f>
        <v>31</v>
      </c>
      <c r="B43" s="48" t="s">
        <v>164</v>
      </c>
      <c r="C43" s="45">
        <v>0.55000000000000004</v>
      </c>
      <c r="D43" s="31">
        <f t="shared" ref="D43:D75" si="30">60*C43</f>
        <v>33</v>
      </c>
      <c r="E43" s="32">
        <f t="shared" ref="E43:E75" si="31">IFERROR(60/C43,"")</f>
        <v>109.09090909090908</v>
      </c>
      <c r="F43" s="33">
        <f t="shared" ref="F43:F75" si="32">+$K$3/($K$2/60)</f>
        <v>100</v>
      </c>
      <c r="G43" s="46" t="s">
        <v>28</v>
      </c>
      <c r="H43" s="46"/>
      <c r="I43" s="36">
        <f t="shared" ref="I43:I75" si="33">IF(C43="","",($I$3/($I$2/60)*C43/60))</f>
        <v>0.91666666666666674</v>
      </c>
      <c r="J43" s="37">
        <f t="shared" ref="J43:J75" si="34">IFERROR(IF(I43&lt;(MROUND(I43,1)+0.125),(MROUND(I43,1)),(CEILING(I43,1))),"")</f>
        <v>1</v>
      </c>
      <c r="K43" s="38">
        <f t="shared" ref="K43:K75" si="35">IFERROR(MROUND(I43,0.25),"")</f>
        <v>1</v>
      </c>
      <c r="L43" s="39"/>
      <c r="M43" s="44"/>
    </row>
    <row r="44" spans="1:13" ht="18.75" customHeight="1" x14ac:dyDescent="0.3">
      <c r="A44" s="28">
        <f>+A43+1</f>
        <v>32</v>
      </c>
      <c r="B44" s="48" t="s">
        <v>113</v>
      </c>
      <c r="C44" s="45">
        <v>0.35</v>
      </c>
      <c r="D44" s="31">
        <f>60*C44</f>
        <v>21</v>
      </c>
      <c r="E44" s="32">
        <f>IFERROR(60/C44,"")</f>
        <v>171.42857142857144</v>
      </c>
      <c r="F44" s="33">
        <f t="shared" si="32"/>
        <v>100</v>
      </c>
      <c r="G44" s="46" t="s">
        <v>33</v>
      </c>
      <c r="H44" s="46"/>
      <c r="I44" s="36">
        <f>IF(C44="","",($I$3/($I$2/60)*C44/60))</f>
        <v>0.58333333333333337</v>
      </c>
      <c r="J44" s="37">
        <f>IFERROR(IF(I44&lt;(MROUND(I44,1)+0.125),(MROUND(I44,1)),(CEILING(I44,1))),"")</f>
        <v>1</v>
      </c>
      <c r="K44" s="38">
        <f>IFERROR(MROUND(I44,0.25),"")</f>
        <v>0.5</v>
      </c>
      <c r="L44" s="39"/>
      <c r="M44" s="44"/>
    </row>
    <row r="45" spans="1:13" ht="18.75" customHeight="1" x14ac:dyDescent="0.3">
      <c r="A45" s="28">
        <f t="shared" ref="A45:A51" si="36">+A44+1</f>
        <v>33</v>
      </c>
      <c r="B45" s="48" t="s">
        <v>138</v>
      </c>
      <c r="C45" s="45">
        <v>0.45</v>
      </c>
      <c r="D45" s="31">
        <f t="shared" si="30"/>
        <v>27</v>
      </c>
      <c r="E45" s="32">
        <f t="shared" si="31"/>
        <v>133.33333333333334</v>
      </c>
      <c r="F45" s="33">
        <f t="shared" si="32"/>
        <v>100</v>
      </c>
      <c r="G45" s="46" t="s">
        <v>33</v>
      </c>
      <c r="H45" s="46"/>
      <c r="I45" s="36">
        <f t="shared" si="33"/>
        <v>0.75</v>
      </c>
      <c r="J45" s="37">
        <f t="shared" si="34"/>
        <v>1</v>
      </c>
      <c r="K45" s="38">
        <f t="shared" si="35"/>
        <v>0.75</v>
      </c>
      <c r="L45" s="39"/>
      <c r="M45" s="44"/>
    </row>
    <row r="46" spans="1:13" ht="18.75" customHeight="1" x14ac:dyDescent="0.3">
      <c r="A46" s="28">
        <f t="shared" si="36"/>
        <v>34</v>
      </c>
      <c r="B46" s="48" t="s">
        <v>109</v>
      </c>
      <c r="C46" s="45">
        <v>0.65</v>
      </c>
      <c r="D46" s="31">
        <f t="shared" si="30"/>
        <v>39</v>
      </c>
      <c r="E46" s="32">
        <f t="shared" si="31"/>
        <v>92.307692307692307</v>
      </c>
      <c r="F46" s="33">
        <f t="shared" si="32"/>
        <v>100</v>
      </c>
      <c r="G46" s="46" t="s">
        <v>30</v>
      </c>
      <c r="H46" s="46"/>
      <c r="I46" s="36">
        <f t="shared" si="33"/>
        <v>1.0833333333333333</v>
      </c>
      <c r="J46" s="37">
        <f t="shared" si="34"/>
        <v>1</v>
      </c>
      <c r="K46" s="38">
        <f t="shared" si="35"/>
        <v>1</v>
      </c>
      <c r="L46" s="39"/>
      <c r="M46" s="44"/>
    </row>
    <row r="47" spans="1:13" ht="18.75" customHeight="1" x14ac:dyDescent="0.3">
      <c r="A47" s="28">
        <f t="shared" si="36"/>
        <v>35</v>
      </c>
      <c r="B47" s="48" t="s">
        <v>165</v>
      </c>
      <c r="C47" s="45">
        <v>0.65</v>
      </c>
      <c r="D47" s="31">
        <f t="shared" si="30"/>
        <v>39</v>
      </c>
      <c r="E47" s="32">
        <f t="shared" si="31"/>
        <v>92.307692307692307</v>
      </c>
      <c r="F47" s="33">
        <f t="shared" si="32"/>
        <v>100</v>
      </c>
      <c r="G47" s="46" t="s">
        <v>30</v>
      </c>
      <c r="H47" s="46"/>
      <c r="I47" s="36">
        <f t="shared" si="33"/>
        <v>1.0833333333333333</v>
      </c>
      <c r="J47" s="37">
        <f t="shared" si="34"/>
        <v>1</v>
      </c>
      <c r="K47" s="38">
        <f t="shared" si="35"/>
        <v>1</v>
      </c>
      <c r="L47" s="39"/>
      <c r="M47" s="44"/>
    </row>
    <row r="48" spans="1:13" ht="18.75" customHeight="1" x14ac:dyDescent="0.3">
      <c r="A48" s="28">
        <f t="shared" si="36"/>
        <v>36</v>
      </c>
      <c r="B48" s="48" t="s">
        <v>166</v>
      </c>
      <c r="C48" s="45">
        <v>0.65</v>
      </c>
      <c r="D48" s="31">
        <f t="shared" ref="D48" si="37">60*C48</f>
        <v>39</v>
      </c>
      <c r="E48" s="32">
        <f t="shared" ref="E48" si="38">IFERROR(60/C48,"")</f>
        <v>92.307692307692307</v>
      </c>
      <c r="F48" s="33">
        <f t="shared" si="32"/>
        <v>100</v>
      </c>
      <c r="G48" s="46" t="s">
        <v>30</v>
      </c>
      <c r="H48" s="46"/>
      <c r="I48" s="36">
        <f t="shared" ref="I48" si="39">IF(C48="","",($I$3/($I$2/60)*C48/60))</f>
        <v>1.0833333333333333</v>
      </c>
      <c r="J48" s="37">
        <f t="shared" ref="J48" si="40">IFERROR(IF(I48&lt;(MROUND(I48,1)+0.125),(MROUND(I48,1)),(CEILING(I48,1))),"")</f>
        <v>1</v>
      </c>
      <c r="K48" s="38">
        <f t="shared" ref="K48" si="41">IFERROR(MROUND(I48,0.25),"")</f>
        <v>1</v>
      </c>
      <c r="L48" s="39"/>
      <c r="M48" s="44"/>
    </row>
    <row r="49" spans="1:13" ht="18.75" customHeight="1" x14ac:dyDescent="0.3">
      <c r="A49" s="28">
        <f t="shared" si="36"/>
        <v>37</v>
      </c>
      <c r="B49" s="48" t="s">
        <v>124</v>
      </c>
      <c r="C49" s="45">
        <v>0.35</v>
      </c>
      <c r="D49" s="31">
        <f t="shared" si="30"/>
        <v>21</v>
      </c>
      <c r="E49" s="32">
        <f t="shared" si="31"/>
        <v>171.42857142857144</v>
      </c>
      <c r="F49" s="33">
        <f t="shared" si="32"/>
        <v>100</v>
      </c>
      <c r="G49" s="46" t="s">
        <v>72</v>
      </c>
      <c r="H49" s="46"/>
      <c r="I49" s="36">
        <f t="shared" si="33"/>
        <v>0.58333333333333337</v>
      </c>
      <c r="J49" s="37">
        <f t="shared" si="34"/>
        <v>1</v>
      </c>
      <c r="K49" s="38">
        <f t="shared" si="35"/>
        <v>0.5</v>
      </c>
      <c r="L49" s="39"/>
      <c r="M49" s="44"/>
    </row>
    <row r="50" spans="1:13" ht="18.75" customHeight="1" x14ac:dyDescent="0.3">
      <c r="A50" s="28">
        <f t="shared" si="36"/>
        <v>38</v>
      </c>
      <c r="B50" s="48" t="s">
        <v>140</v>
      </c>
      <c r="C50" s="45">
        <v>0.3</v>
      </c>
      <c r="D50" s="31">
        <f t="shared" si="30"/>
        <v>18</v>
      </c>
      <c r="E50" s="32">
        <f t="shared" si="31"/>
        <v>200</v>
      </c>
      <c r="F50" s="33">
        <f t="shared" si="32"/>
        <v>100</v>
      </c>
      <c r="G50" s="46" t="s">
        <v>33</v>
      </c>
      <c r="H50" s="46"/>
      <c r="I50" s="36">
        <f t="shared" si="33"/>
        <v>0.5</v>
      </c>
      <c r="J50" s="37">
        <f t="shared" si="34"/>
        <v>1</v>
      </c>
      <c r="K50" s="38">
        <f t="shared" si="35"/>
        <v>0.5</v>
      </c>
      <c r="L50" s="39"/>
      <c r="M50" s="44"/>
    </row>
    <row r="51" spans="1:13" ht="18.75" customHeight="1" x14ac:dyDescent="0.3">
      <c r="A51" s="28">
        <f t="shared" si="36"/>
        <v>39</v>
      </c>
      <c r="B51" s="48" t="s">
        <v>141</v>
      </c>
      <c r="C51" s="45">
        <v>0.2</v>
      </c>
      <c r="D51" s="31">
        <f t="shared" si="30"/>
        <v>12</v>
      </c>
      <c r="E51" s="32">
        <f t="shared" si="31"/>
        <v>300</v>
      </c>
      <c r="F51" s="33">
        <f t="shared" si="32"/>
        <v>100</v>
      </c>
      <c r="G51" s="46" t="s">
        <v>35</v>
      </c>
      <c r="H51" s="46"/>
      <c r="I51" s="36">
        <f t="shared" si="33"/>
        <v>0.33333333333333331</v>
      </c>
      <c r="J51" s="37">
        <f t="shared" si="34"/>
        <v>1</v>
      </c>
      <c r="K51" s="38">
        <f t="shared" si="35"/>
        <v>0.25</v>
      </c>
      <c r="L51" s="39"/>
      <c r="M51" s="44"/>
    </row>
    <row r="52" spans="1:13" ht="18.75" customHeight="1" x14ac:dyDescent="0.3">
      <c r="A52" s="28"/>
      <c r="B52" s="103" t="s">
        <v>142</v>
      </c>
      <c r="C52" s="45"/>
      <c r="D52" s="31"/>
      <c r="E52" s="32"/>
      <c r="F52" s="33"/>
      <c r="G52" s="46"/>
      <c r="H52" s="46"/>
      <c r="I52" s="36"/>
      <c r="J52" s="37"/>
      <c r="K52" s="38"/>
      <c r="L52" s="39"/>
      <c r="M52" s="44"/>
    </row>
    <row r="53" spans="1:13" ht="18.75" customHeight="1" x14ac:dyDescent="0.3">
      <c r="A53" s="28">
        <f>+A51+1</f>
        <v>40</v>
      </c>
      <c r="B53" s="48" t="s">
        <v>143</v>
      </c>
      <c r="C53" s="45">
        <v>0.55000000000000004</v>
      </c>
      <c r="D53" s="31">
        <f t="shared" ref="D53:D60" si="42">60*C53</f>
        <v>33</v>
      </c>
      <c r="E53" s="32">
        <f t="shared" ref="E53:E60" si="43">IFERROR(60/C53,"")</f>
        <v>109.09090909090908</v>
      </c>
      <c r="F53" s="33">
        <f t="shared" si="32"/>
        <v>100</v>
      </c>
      <c r="G53" s="46" t="s">
        <v>28</v>
      </c>
      <c r="H53" s="46"/>
      <c r="I53" s="36">
        <f t="shared" ref="I53:I60" si="44">IF(C53="","",($I$3/($I$2/60)*C53/60))</f>
        <v>0.91666666666666674</v>
      </c>
      <c r="J53" s="37">
        <f t="shared" ref="J53:J60" si="45">IFERROR(IF(I53&lt;(MROUND(I53,1)+0.125),(MROUND(I53,1)),(CEILING(I53,1))),"")</f>
        <v>1</v>
      </c>
      <c r="K53" s="38">
        <f t="shared" ref="K53:K60" si="46">IFERROR(MROUND(I53,0.25),"")</f>
        <v>1</v>
      </c>
      <c r="L53" s="39"/>
      <c r="M53" s="44"/>
    </row>
    <row r="54" spans="1:13" ht="18.75" customHeight="1" x14ac:dyDescent="0.3">
      <c r="A54" s="28">
        <f t="shared" ref="A54:A62" si="47">+A53+1</f>
        <v>41</v>
      </c>
      <c r="B54" s="48" t="s">
        <v>113</v>
      </c>
      <c r="C54" s="45">
        <v>0.3</v>
      </c>
      <c r="D54" s="31">
        <f t="shared" si="42"/>
        <v>18</v>
      </c>
      <c r="E54" s="32">
        <f t="shared" si="43"/>
        <v>200</v>
      </c>
      <c r="F54" s="33">
        <f t="shared" si="32"/>
        <v>100</v>
      </c>
      <c r="G54" s="46" t="s">
        <v>33</v>
      </c>
      <c r="H54" s="46"/>
      <c r="I54" s="36">
        <f t="shared" si="44"/>
        <v>0.5</v>
      </c>
      <c r="J54" s="37">
        <f t="shared" si="45"/>
        <v>1</v>
      </c>
      <c r="K54" s="38">
        <f t="shared" si="46"/>
        <v>0.5</v>
      </c>
      <c r="L54" s="39"/>
      <c r="M54" s="44"/>
    </row>
    <row r="55" spans="1:13" ht="18.75" customHeight="1" x14ac:dyDescent="0.3">
      <c r="A55" s="28">
        <f t="shared" si="47"/>
        <v>42</v>
      </c>
      <c r="B55" s="48" t="s">
        <v>144</v>
      </c>
      <c r="C55" s="45">
        <v>0.25</v>
      </c>
      <c r="D55" s="31">
        <f t="shared" si="42"/>
        <v>15</v>
      </c>
      <c r="E55" s="32">
        <f t="shared" si="43"/>
        <v>240</v>
      </c>
      <c r="F55" s="33">
        <f t="shared" si="32"/>
        <v>100</v>
      </c>
      <c r="G55" s="46" t="s">
        <v>30</v>
      </c>
      <c r="H55" s="46"/>
      <c r="I55" s="36">
        <f t="shared" si="44"/>
        <v>0.41666666666666669</v>
      </c>
      <c r="J55" s="37">
        <f t="shared" si="45"/>
        <v>1</v>
      </c>
      <c r="K55" s="38">
        <f t="shared" si="46"/>
        <v>0.5</v>
      </c>
      <c r="L55" s="39"/>
      <c r="M55" s="44"/>
    </row>
    <row r="56" spans="1:13" ht="18.75" customHeight="1" x14ac:dyDescent="0.3">
      <c r="A56" s="28">
        <f>+A54+1</f>
        <v>42</v>
      </c>
      <c r="B56" s="48" t="s">
        <v>167</v>
      </c>
      <c r="C56" s="45">
        <v>0.2</v>
      </c>
      <c r="D56" s="31">
        <f t="shared" ref="D56" si="48">60*C56</f>
        <v>12</v>
      </c>
      <c r="E56" s="32">
        <f t="shared" ref="E56" si="49">IFERROR(60/C56,"")</f>
        <v>300</v>
      </c>
      <c r="F56" s="33">
        <f t="shared" si="32"/>
        <v>100</v>
      </c>
      <c r="G56" s="46" t="s">
        <v>30</v>
      </c>
      <c r="H56" s="46"/>
      <c r="I56" s="36">
        <f t="shared" ref="I56" si="50">IF(C56="","",($I$3/($I$2/60)*C56/60))</f>
        <v>0.33333333333333331</v>
      </c>
      <c r="J56" s="37">
        <f t="shared" ref="J56" si="51">IFERROR(IF(I56&lt;(MROUND(I56,1)+0.125),(MROUND(I56,1)),(CEILING(I56,1))),"")</f>
        <v>1</v>
      </c>
      <c r="K56" s="38">
        <f t="shared" ref="K56" si="52">IFERROR(MROUND(I56,0.25),"")</f>
        <v>0.25</v>
      </c>
      <c r="L56" s="39"/>
      <c r="M56" s="44"/>
    </row>
    <row r="57" spans="1:13" ht="18.75" customHeight="1" x14ac:dyDescent="0.3">
      <c r="A57" s="28">
        <f>+A55+1</f>
        <v>43</v>
      </c>
      <c r="B57" s="48" t="s">
        <v>139</v>
      </c>
      <c r="C57" s="45">
        <v>0.65</v>
      </c>
      <c r="D57" s="31">
        <f t="shared" si="42"/>
        <v>39</v>
      </c>
      <c r="E57" s="32">
        <f t="shared" si="43"/>
        <v>92.307692307692307</v>
      </c>
      <c r="F57" s="33">
        <f t="shared" si="32"/>
        <v>100</v>
      </c>
      <c r="G57" s="46" t="s">
        <v>30</v>
      </c>
      <c r="H57" s="46"/>
      <c r="I57" s="36">
        <f t="shared" si="44"/>
        <v>1.0833333333333333</v>
      </c>
      <c r="J57" s="37">
        <f t="shared" si="45"/>
        <v>1</v>
      </c>
      <c r="K57" s="38">
        <f t="shared" si="46"/>
        <v>1</v>
      </c>
      <c r="L57" s="39"/>
      <c r="M57" s="44"/>
    </row>
    <row r="58" spans="1:13" ht="18.75" customHeight="1" x14ac:dyDescent="0.3">
      <c r="A58" s="28">
        <f t="shared" si="47"/>
        <v>44</v>
      </c>
      <c r="B58" s="48" t="s">
        <v>145</v>
      </c>
      <c r="C58" s="45">
        <v>0.45</v>
      </c>
      <c r="D58" s="31">
        <f t="shared" si="42"/>
        <v>27</v>
      </c>
      <c r="E58" s="32">
        <f t="shared" si="43"/>
        <v>133.33333333333334</v>
      </c>
      <c r="F58" s="33">
        <f t="shared" si="32"/>
        <v>100</v>
      </c>
      <c r="G58" s="46" t="s">
        <v>35</v>
      </c>
      <c r="H58" s="46"/>
      <c r="I58" s="36">
        <f t="shared" si="44"/>
        <v>0.75</v>
      </c>
      <c r="J58" s="37">
        <f t="shared" si="45"/>
        <v>1</v>
      </c>
      <c r="K58" s="38">
        <f t="shared" si="46"/>
        <v>0.75</v>
      </c>
      <c r="L58" s="39"/>
      <c r="M58" s="44"/>
    </row>
    <row r="59" spans="1:13" ht="18.75" customHeight="1" x14ac:dyDescent="0.3">
      <c r="A59" s="28">
        <f t="shared" si="47"/>
        <v>45</v>
      </c>
      <c r="B59" s="48" t="s">
        <v>146</v>
      </c>
      <c r="C59" s="45">
        <v>0.45</v>
      </c>
      <c r="D59" s="31">
        <f t="shared" si="42"/>
        <v>27</v>
      </c>
      <c r="E59" s="32">
        <f t="shared" si="43"/>
        <v>133.33333333333334</v>
      </c>
      <c r="F59" s="33">
        <f t="shared" si="32"/>
        <v>100</v>
      </c>
      <c r="G59" s="46" t="s">
        <v>53</v>
      </c>
      <c r="H59" s="46"/>
      <c r="I59" s="36">
        <f t="shared" si="44"/>
        <v>0.75</v>
      </c>
      <c r="J59" s="37">
        <f t="shared" si="45"/>
        <v>1</v>
      </c>
      <c r="K59" s="38">
        <f t="shared" si="46"/>
        <v>0.75</v>
      </c>
      <c r="L59" s="39"/>
      <c r="M59" s="44"/>
    </row>
    <row r="60" spans="1:13" ht="18.75" customHeight="1" x14ac:dyDescent="0.3">
      <c r="A60" s="28">
        <f t="shared" si="47"/>
        <v>46</v>
      </c>
      <c r="B60" s="48" t="s">
        <v>147</v>
      </c>
      <c r="C60" s="45">
        <v>0.45</v>
      </c>
      <c r="D60" s="31">
        <f t="shared" si="42"/>
        <v>27</v>
      </c>
      <c r="E60" s="32">
        <f t="shared" si="43"/>
        <v>133.33333333333334</v>
      </c>
      <c r="F60" s="33">
        <f t="shared" si="32"/>
        <v>100</v>
      </c>
      <c r="G60" s="46" t="s">
        <v>30</v>
      </c>
      <c r="H60" s="46"/>
      <c r="I60" s="36">
        <f t="shared" si="44"/>
        <v>0.75</v>
      </c>
      <c r="J60" s="37">
        <f t="shared" si="45"/>
        <v>1</v>
      </c>
      <c r="K60" s="38">
        <f t="shared" si="46"/>
        <v>0.75</v>
      </c>
      <c r="L60" s="39"/>
      <c r="M60" s="44"/>
    </row>
    <row r="61" spans="1:13" ht="18.75" customHeight="1" x14ac:dyDescent="0.3">
      <c r="A61" s="28">
        <f t="shared" si="47"/>
        <v>47</v>
      </c>
      <c r="B61" s="48" t="s">
        <v>148</v>
      </c>
      <c r="C61" s="45">
        <v>0.4</v>
      </c>
      <c r="D61" s="31">
        <f>60*C61</f>
        <v>24</v>
      </c>
      <c r="E61" s="32">
        <f>IFERROR(60/C61,"")</f>
        <v>150</v>
      </c>
      <c r="F61" s="33">
        <f t="shared" si="32"/>
        <v>100</v>
      </c>
      <c r="G61" s="46" t="s">
        <v>30</v>
      </c>
      <c r="H61" s="46"/>
      <c r="I61" s="36">
        <f>IF(C61="","",($I$3/($I$2/60)*C61/60))</f>
        <v>0.66666666666666663</v>
      </c>
      <c r="J61" s="37">
        <f>IFERROR(IF(I61&lt;(MROUND(I61,1)+0.125),(MROUND(I61,1)),(CEILING(I61,1))),"")</f>
        <v>1</v>
      </c>
      <c r="K61" s="38">
        <f>IFERROR(MROUND(I61,0.25),"")</f>
        <v>0.75</v>
      </c>
      <c r="L61" s="39"/>
      <c r="M61" s="44"/>
    </row>
    <row r="62" spans="1:13" ht="18.75" customHeight="1" x14ac:dyDescent="0.3">
      <c r="A62" s="28">
        <f t="shared" si="47"/>
        <v>48</v>
      </c>
      <c r="B62" s="104" t="s">
        <v>149</v>
      </c>
      <c r="C62" s="41">
        <v>0.35</v>
      </c>
      <c r="D62" s="31">
        <f t="shared" ref="D62" si="53">60*C62</f>
        <v>21</v>
      </c>
      <c r="E62" s="32">
        <f t="shared" ref="E62" si="54">IFERROR(60/C62,"")</f>
        <v>171.42857142857144</v>
      </c>
      <c r="F62" s="33">
        <f t="shared" si="32"/>
        <v>100</v>
      </c>
      <c r="G62" s="34" t="s">
        <v>35</v>
      </c>
      <c r="H62" s="46"/>
      <c r="I62" s="36">
        <f t="shared" ref="I62" si="55">IF(C62="","",($I$3/($I$2/60)*C62/60))</f>
        <v>0.58333333333333337</v>
      </c>
      <c r="J62" s="37">
        <f t="shared" ref="J62" si="56">IFERROR(IF(I62&lt;(MROUND(I62,1)+0.125),(MROUND(I62,1)),(CEILING(I62,1))),"")</f>
        <v>1</v>
      </c>
      <c r="K62" s="38">
        <f t="shared" ref="K62" si="57">IFERROR(MROUND(I62,0.25),"")</f>
        <v>0.5</v>
      </c>
      <c r="L62" s="39"/>
      <c r="M62" s="44"/>
    </row>
    <row r="63" spans="1:13" ht="18.75" customHeight="1" x14ac:dyDescent="0.3">
      <c r="A63" s="28"/>
      <c r="B63" s="104"/>
      <c r="C63" s="41"/>
      <c r="D63" s="31"/>
      <c r="E63" s="32"/>
      <c r="F63" s="33"/>
      <c r="G63" s="34"/>
      <c r="H63" s="46"/>
      <c r="I63" s="36"/>
      <c r="J63" s="37"/>
      <c r="K63" s="38"/>
      <c r="L63" s="39"/>
      <c r="M63" s="44"/>
    </row>
    <row r="64" spans="1:13" ht="18.75" customHeight="1" x14ac:dyDescent="0.3">
      <c r="A64" s="28">
        <f>+A62+1</f>
        <v>49</v>
      </c>
      <c r="B64" s="48" t="s">
        <v>150</v>
      </c>
      <c r="C64" s="45">
        <v>0.45</v>
      </c>
      <c r="D64" s="31">
        <f t="shared" si="30"/>
        <v>27</v>
      </c>
      <c r="E64" s="32">
        <f t="shared" si="31"/>
        <v>133.33333333333334</v>
      </c>
      <c r="F64" s="33">
        <f t="shared" si="32"/>
        <v>100</v>
      </c>
      <c r="G64" s="46" t="s">
        <v>72</v>
      </c>
      <c r="H64" s="46"/>
      <c r="I64" s="36">
        <f t="shared" si="33"/>
        <v>0.75</v>
      </c>
      <c r="J64" s="37">
        <f t="shared" si="34"/>
        <v>1</v>
      </c>
      <c r="K64" s="38">
        <f t="shared" si="35"/>
        <v>0.75</v>
      </c>
      <c r="L64" s="39"/>
      <c r="M64" s="44"/>
    </row>
    <row r="65" spans="1:13" ht="18.75" customHeight="1" x14ac:dyDescent="0.3">
      <c r="A65" s="28">
        <f t="shared" ref="A65:A80" si="58">+A64+1</f>
        <v>50</v>
      </c>
      <c r="B65" s="48" t="s">
        <v>151</v>
      </c>
      <c r="C65" s="45">
        <v>0.45</v>
      </c>
      <c r="D65" s="31">
        <f t="shared" si="30"/>
        <v>27</v>
      </c>
      <c r="E65" s="32">
        <f t="shared" si="31"/>
        <v>133.33333333333334</v>
      </c>
      <c r="F65" s="33">
        <f t="shared" si="32"/>
        <v>100</v>
      </c>
      <c r="G65" s="46" t="s">
        <v>152</v>
      </c>
      <c r="H65" s="46"/>
      <c r="I65" s="36">
        <f t="shared" si="33"/>
        <v>0.75</v>
      </c>
      <c r="J65" s="37">
        <f t="shared" si="34"/>
        <v>1</v>
      </c>
      <c r="K65" s="38">
        <f t="shared" si="35"/>
        <v>0.75</v>
      </c>
      <c r="L65" s="39"/>
      <c r="M65" s="44"/>
    </row>
    <row r="66" spans="1:13" ht="18.75" customHeight="1" x14ac:dyDescent="0.3">
      <c r="A66" s="28">
        <f t="shared" si="58"/>
        <v>51</v>
      </c>
      <c r="B66" s="48" t="s">
        <v>153</v>
      </c>
      <c r="C66" s="45">
        <v>0.45</v>
      </c>
      <c r="D66" s="31">
        <f t="shared" si="30"/>
        <v>27</v>
      </c>
      <c r="E66" s="32">
        <f t="shared" si="31"/>
        <v>133.33333333333334</v>
      </c>
      <c r="F66" s="33">
        <f t="shared" si="32"/>
        <v>100</v>
      </c>
      <c r="G66" s="46" t="s">
        <v>61</v>
      </c>
      <c r="H66" s="46" t="s">
        <v>154</v>
      </c>
      <c r="I66" s="36">
        <f t="shared" si="33"/>
        <v>0.75</v>
      </c>
      <c r="J66" s="37">
        <f t="shared" si="34"/>
        <v>1</v>
      </c>
      <c r="K66" s="38">
        <f t="shared" si="35"/>
        <v>0.75</v>
      </c>
      <c r="L66" s="39"/>
      <c r="M66" s="44"/>
    </row>
    <row r="67" spans="1:13" ht="18.75" customHeight="1" x14ac:dyDescent="0.3">
      <c r="A67" s="28">
        <f t="shared" si="58"/>
        <v>52</v>
      </c>
      <c r="B67" s="48" t="s">
        <v>155</v>
      </c>
      <c r="C67" s="45">
        <v>0.2</v>
      </c>
      <c r="D67" s="31">
        <f t="shared" si="30"/>
        <v>12</v>
      </c>
      <c r="E67" s="32">
        <f t="shared" si="31"/>
        <v>300</v>
      </c>
      <c r="F67" s="33">
        <f t="shared" si="32"/>
        <v>100</v>
      </c>
      <c r="G67" s="46" t="s">
        <v>33</v>
      </c>
      <c r="H67" s="46"/>
      <c r="I67" s="36">
        <f t="shared" si="33"/>
        <v>0.33333333333333331</v>
      </c>
      <c r="J67" s="37">
        <f t="shared" si="34"/>
        <v>1</v>
      </c>
      <c r="K67" s="38">
        <f t="shared" si="35"/>
        <v>0.25</v>
      </c>
      <c r="L67" s="39"/>
      <c r="M67" s="44"/>
    </row>
    <row r="68" spans="1:13" ht="18.75" customHeight="1" x14ac:dyDescent="0.3">
      <c r="A68" s="28">
        <f t="shared" si="58"/>
        <v>53</v>
      </c>
      <c r="B68" s="48" t="s">
        <v>168</v>
      </c>
      <c r="C68" s="45">
        <v>0.55000000000000004</v>
      </c>
      <c r="D68" s="31">
        <f t="shared" si="30"/>
        <v>33</v>
      </c>
      <c r="E68" s="32">
        <f t="shared" si="31"/>
        <v>109.09090909090908</v>
      </c>
      <c r="F68" s="33">
        <f t="shared" si="32"/>
        <v>100</v>
      </c>
      <c r="G68" s="46" t="s">
        <v>30</v>
      </c>
      <c r="H68" s="46"/>
      <c r="I68" s="36">
        <f t="shared" si="33"/>
        <v>0.91666666666666674</v>
      </c>
      <c r="J68" s="37">
        <f t="shared" si="34"/>
        <v>1</v>
      </c>
      <c r="K68" s="38">
        <f t="shared" si="35"/>
        <v>1</v>
      </c>
      <c r="L68" s="39"/>
      <c r="M68" s="44"/>
    </row>
    <row r="69" spans="1:13" ht="18.75" customHeight="1" x14ac:dyDescent="0.3">
      <c r="A69" s="28">
        <f t="shared" si="58"/>
        <v>54</v>
      </c>
      <c r="B69" s="40" t="s">
        <v>156</v>
      </c>
      <c r="C69" s="41">
        <v>0.4</v>
      </c>
      <c r="D69" s="31">
        <f t="shared" si="30"/>
        <v>24</v>
      </c>
      <c r="E69" s="32">
        <f t="shared" si="31"/>
        <v>150</v>
      </c>
      <c r="F69" s="33">
        <f t="shared" si="32"/>
        <v>100</v>
      </c>
      <c r="G69" s="43" t="s">
        <v>28</v>
      </c>
      <c r="H69" s="46"/>
      <c r="I69" s="36">
        <f t="shared" si="33"/>
        <v>0.66666666666666663</v>
      </c>
      <c r="J69" s="37">
        <f t="shared" si="34"/>
        <v>1</v>
      </c>
      <c r="K69" s="38">
        <f t="shared" si="35"/>
        <v>0.75</v>
      </c>
      <c r="L69" s="38"/>
      <c r="M69" s="44"/>
    </row>
    <row r="70" spans="1:13" ht="18.75" customHeight="1" x14ac:dyDescent="0.3">
      <c r="A70" s="28">
        <f t="shared" si="58"/>
        <v>55</v>
      </c>
      <c r="B70" s="40" t="s">
        <v>157</v>
      </c>
      <c r="C70" s="41">
        <v>1.2</v>
      </c>
      <c r="D70" s="31">
        <f t="shared" si="30"/>
        <v>72</v>
      </c>
      <c r="E70" s="32">
        <f t="shared" si="31"/>
        <v>50</v>
      </c>
      <c r="F70" s="33">
        <f t="shared" si="32"/>
        <v>100</v>
      </c>
      <c r="G70" s="43" t="s">
        <v>61</v>
      </c>
      <c r="H70" s="46"/>
      <c r="I70" s="36">
        <f t="shared" si="33"/>
        <v>2</v>
      </c>
      <c r="J70" s="37">
        <f t="shared" si="34"/>
        <v>2</v>
      </c>
      <c r="K70" s="38">
        <f t="shared" si="35"/>
        <v>2</v>
      </c>
      <c r="L70" s="38"/>
      <c r="M70" s="44"/>
    </row>
    <row r="71" spans="1:13" ht="18.75" customHeight="1" x14ac:dyDescent="0.3">
      <c r="A71" s="28">
        <f t="shared" si="58"/>
        <v>56</v>
      </c>
      <c r="B71" s="40" t="s">
        <v>158</v>
      </c>
      <c r="C71" s="41">
        <v>1.2</v>
      </c>
      <c r="D71" s="31">
        <f t="shared" si="30"/>
        <v>72</v>
      </c>
      <c r="E71" s="32">
        <f t="shared" si="31"/>
        <v>50</v>
      </c>
      <c r="F71" s="33">
        <f t="shared" si="32"/>
        <v>100</v>
      </c>
      <c r="G71" s="43" t="s">
        <v>30</v>
      </c>
      <c r="H71" s="46"/>
      <c r="I71" s="36">
        <f t="shared" si="33"/>
        <v>2</v>
      </c>
      <c r="J71" s="37">
        <f t="shared" si="34"/>
        <v>2</v>
      </c>
      <c r="K71" s="38">
        <f t="shared" si="35"/>
        <v>2</v>
      </c>
      <c r="L71" s="38"/>
      <c r="M71" s="44"/>
    </row>
    <row r="72" spans="1:13" ht="18.75" customHeight="1" x14ac:dyDescent="0.3">
      <c r="A72" s="28">
        <f t="shared" si="58"/>
        <v>57</v>
      </c>
      <c r="B72" s="40" t="s">
        <v>159</v>
      </c>
      <c r="C72" s="41">
        <v>0.45</v>
      </c>
      <c r="D72" s="31">
        <f t="shared" si="30"/>
        <v>27</v>
      </c>
      <c r="E72" s="32">
        <f t="shared" si="31"/>
        <v>133.33333333333334</v>
      </c>
      <c r="F72" s="33">
        <f t="shared" si="32"/>
        <v>100</v>
      </c>
      <c r="G72" s="43" t="s">
        <v>71</v>
      </c>
      <c r="H72" s="46"/>
      <c r="I72" s="36">
        <f t="shared" si="33"/>
        <v>0.75</v>
      </c>
      <c r="J72" s="37">
        <f t="shared" si="34"/>
        <v>1</v>
      </c>
      <c r="K72" s="38">
        <f t="shared" si="35"/>
        <v>0.75</v>
      </c>
      <c r="L72" s="38"/>
      <c r="M72" s="44"/>
    </row>
    <row r="73" spans="1:13" ht="18.75" customHeight="1" x14ac:dyDescent="0.3">
      <c r="A73" s="28">
        <f t="shared" si="58"/>
        <v>58</v>
      </c>
      <c r="B73" s="40" t="s">
        <v>160</v>
      </c>
      <c r="C73" s="41">
        <v>0.55000000000000004</v>
      </c>
      <c r="D73" s="31">
        <f t="shared" si="30"/>
        <v>33</v>
      </c>
      <c r="E73" s="32">
        <f t="shared" si="31"/>
        <v>109.09090909090908</v>
      </c>
      <c r="F73" s="33">
        <f t="shared" si="32"/>
        <v>100</v>
      </c>
      <c r="G73" s="43" t="s">
        <v>81</v>
      </c>
      <c r="H73" s="46"/>
      <c r="I73" s="36">
        <f t="shared" si="33"/>
        <v>0.91666666666666674</v>
      </c>
      <c r="J73" s="37">
        <f t="shared" si="34"/>
        <v>1</v>
      </c>
      <c r="K73" s="38">
        <f t="shared" si="35"/>
        <v>1</v>
      </c>
      <c r="L73" s="38"/>
      <c r="M73" s="44"/>
    </row>
    <row r="74" spans="1:13" ht="18.75" customHeight="1" x14ac:dyDescent="0.3">
      <c r="A74" s="28">
        <f t="shared" si="58"/>
        <v>59</v>
      </c>
      <c r="B74" s="40" t="s">
        <v>161</v>
      </c>
      <c r="C74" s="41">
        <v>0.25</v>
      </c>
      <c r="D74" s="31">
        <f t="shared" si="30"/>
        <v>15</v>
      </c>
      <c r="E74" s="32">
        <f t="shared" si="31"/>
        <v>240</v>
      </c>
      <c r="F74" s="33">
        <f t="shared" si="32"/>
        <v>100</v>
      </c>
      <c r="G74" s="43" t="s">
        <v>162</v>
      </c>
      <c r="H74" s="46"/>
      <c r="I74" s="36">
        <f t="shared" si="33"/>
        <v>0.41666666666666669</v>
      </c>
      <c r="J74" s="37">
        <f t="shared" si="34"/>
        <v>1</v>
      </c>
      <c r="K74" s="38">
        <f t="shared" si="35"/>
        <v>0.5</v>
      </c>
      <c r="L74" s="38"/>
      <c r="M74" s="44"/>
    </row>
    <row r="75" spans="1:13" ht="18.75" customHeight="1" x14ac:dyDescent="0.3">
      <c r="A75" s="28">
        <f t="shared" si="58"/>
        <v>60</v>
      </c>
      <c r="B75" s="40" t="s">
        <v>163</v>
      </c>
      <c r="C75" s="41">
        <v>0.2</v>
      </c>
      <c r="D75" s="31">
        <f t="shared" si="30"/>
        <v>12</v>
      </c>
      <c r="E75" s="32">
        <f t="shared" si="31"/>
        <v>300</v>
      </c>
      <c r="F75" s="33">
        <f t="shared" si="32"/>
        <v>100</v>
      </c>
      <c r="G75" s="43" t="s">
        <v>42</v>
      </c>
      <c r="H75" s="46"/>
      <c r="I75" s="36">
        <f t="shared" si="33"/>
        <v>0.33333333333333331</v>
      </c>
      <c r="J75" s="37">
        <f t="shared" si="34"/>
        <v>1</v>
      </c>
      <c r="K75" s="38">
        <f t="shared" si="35"/>
        <v>0.25</v>
      </c>
      <c r="L75" s="38"/>
      <c r="M75" s="44"/>
    </row>
    <row r="76" spans="1:13" ht="18.75" customHeight="1" x14ac:dyDescent="0.3">
      <c r="A76" s="28">
        <f t="shared" si="58"/>
        <v>61</v>
      </c>
      <c r="B76" s="48" t="s">
        <v>169</v>
      </c>
      <c r="C76" s="45">
        <v>0.45</v>
      </c>
      <c r="D76" s="31">
        <f t="shared" si="23"/>
        <v>27</v>
      </c>
      <c r="E76" s="32">
        <f t="shared" si="24"/>
        <v>133.33333333333334</v>
      </c>
      <c r="F76" s="33">
        <f t="shared" si="25"/>
        <v>100</v>
      </c>
      <c r="G76" s="46" t="s">
        <v>72</v>
      </c>
      <c r="H76" s="46"/>
      <c r="I76" s="36">
        <f t="shared" si="26"/>
        <v>0.75</v>
      </c>
      <c r="J76" s="37">
        <f t="shared" si="27"/>
        <v>1</v>
      </c>
      <c r="K76" s="38">
        <f t="shared" si="28"/>
        <v>0.75</v>
      </c>
      <c r="L76" s="39"/>
      <c r="M76" s="44"/>
    </row>
    <row r="77" spans="1:13" ht="18.75" customHeight="1" x14ac:dyDescent="0.3">
      <c r="A77" s="28">
        <f t="shared" si="58"/>
        <v>62</v>
      </c>
      <c r="B77" s="48" t="s">
        <v>172</v>
      </c>
      <c r="C77" s="45">
        <v>0.3</v>
      </c>
      <c r="D77" s="31">
        <f t="shared" ref="D77" si="59">60*C77</f>
        <v>18</v>
      </c>
      <c r="E77" s="32">
        <f t="shared" ref="E77" si="60">IFERROR(60/C77,"")</f>
        <v>200</v>
      </c>
      <c r="F77" s="33">
        <f t="shared" si="25"/>
        <v>100</v>
      </c>
      <c r="G77" s="46" t="s">
        <v>33</v>
      </c>
      <c r="H77" s="46"/>
      <c r="I77" s="36">
        <f t="shared" ref="I77" si="61">IF(C77="","",($I$3/($I$2/60)*C77/60))</f>
        <v>0.5</v>
      </c>
      <c r="J77" s="37">
        <f t="shared" ref="J77" si="62">IFERROR(IF(I77&lt;(MROUND(I77,1)+0.125),(MROUND(I77,1)),(CEILING(I77,1))),"")</f>
        <v>1</v>
      </c>
      <c r="K77" s="38">
        <f t="shared" ref="K77" si="63">IFERROR(MROUND(I77,0.25),"")</f>
        <v>0.5</v>
      </c>
      <c r="L77" s="39"/>
      <c r="M77" s="44"/>
    </row>
    <row r="78" spans="1:13" ht="18.75" customHeight="1" x14ac:dyDescent="0.3">
      <c r="A78" s="28">
        <f t="shared" si="58"/>
        <v>63</v>
      </c>
      <c r="B78" s="48" t="s">
        <v>173</v>
      </c>
      <c r="C78" s="45">
        <v>0.3</v>
      </c>
      <c r="D78" s="31">
        <f t="shared" si="23"/>
        <v>18</v>
      </c>
      <c r="E78" s="32">
        <f t="shared" si="24"/>
        <v>200</v>
      </c>
      <c r="F78" s="33">
        <f t="shared" si="25"/>
        <v>100</v>
      </c>
      <c r="G78" s="46" t="s">
        <v>30</v>
      </c>
      <c r="H78" s="46"/>
      <c r="I78" s="36">
        <f t="shared" si="26"/>
        <v>0.5</v>
      </c>
      <c r="J78" s="37">
        <f t="shared" si="27"/>
        <v>1</v>
      </c>
      <c r="K78" s="38">
        <f t="shared" si="28"/>
        <v>0.5</v>
      </c>
      <c r="L78" s="39"/>
      <c r="M78" s="44"/>
    </row>
    <row r="79" spans="1:13" ht="18.75" customHeight="1" x14ac:dyDescent="0.3">
      <c r="A79" s="28">
        <f t="shared" si="58"/>
        <v>64</v>
      </c>
      <c r="B79" s="48" t="s">
        <v>170</v>
      </c>
      <c r="C79" s="45">
        <v>1.2</v>
      </c>
      <c r="D79" s="31">
        <f t="shared" si="23"/>
        <v>72</v>
      </c>
      <c r="E79" s="32">
        <f t="shared" si="24"/>
        <v>50</v>
      </c>
      <c r="F79" s="33">
        <f t="shared" si="25"/>
        <v>100</v>
      </c>
      <c r="G79" s="46" t="s">
        <v>30</v>
      </c>
      <c r="H79" s="46"/>
      <c r="I79" s="36">
        <f t="shared" si="26"/>
        <v>2</v>
      </c>
      <c r="J79" s="37">
        <f t="shared" si="27"/>
        <v>2</v>
      </c>
      <c r="K79" s="38">
        <f t="shared" si="28"/>
        <v>2</v>
      </c>
      <c r="L79" s="39"/>
      <c r="M79" s="44"/>
    </row>
    <row r="80" spans="1:13" ht="18.75" customHeight="1" x14ac:dyDescent="0.3">
      <c r="A80" s="28">
        <f t="shared" si="58"/>
        <v>65</v>
      </c>
      <c r="B80" s="48" t="s">
        <v>171</v>
      </c>
      <c r="C80" s="45">
        <v>0.9</v>
      </c>
      <c r="D80" s="31">
        <f t="shared" si="23"/>
        <v>54</v>
      </c>
      <c r="E80" s="32">
        <f t="shared" si="24"/>
        <v>66.666666666666671</v>
      </c>
      <c r="F80" s="33">
        <f t="shared" si="25"/>
        <v>100</v>
      </c>
      <c r="G80" s="46" t="s">
        <v>30</v>
      </c>
      <c r="H80" s="46"/>
      <c r="I80" s="36">
        <f t="shared" si="26"/>
        <v>1.5</v>
      </c>
      <c r="J80" s="37">
        <f t="shared" si="27"/>
        <v>2</v>
      </c>
      <c r="K80" s="38">
        <f t="shared" si="28"/>
        <v>1.5</v>
      </c>
      <c r="L80" s="39"/>
      <c r="M80" s="44"/>
    </row>
    <row r="81" spans="1:13" ht="18.75" customHeight="1" x14ac:dyDescent="0.3">
      <c r="A81" s="28"/>
      <c r="B81" s="105" t="s">
        <v>174</v>
      </c>
      <c r="C81" s="41"/>
      <c r="D81" s="31"/>
      <c r="E81" s="32"/>
      <c r="F81" s="33"/>
      <c r="G81" s="34"/>
      <c r="H81" s="46"/>
      <c r="I81" s="36"/>
      <c r="J81" s="37"/>
      <c r="K81" s="38"/>
      <c r="L81" s="39"/>
      <c r="M81" s="44"/>
    </row>
    <row r="82" spans="1:13" ht="18.75" customHeight="1" x14ac:dyDescent="0.3">
      <c r="A82" s="28">
        <f>+A80+1</f>
        <v>66</v>
      </c>
      <c r="B82" s="48" t="s">
        <v>135</v>
      </c>
      <c r="C82" s="45">
        <v>0.55000000000000004</v>
      </c>
      <c r="D82" s="31">
        <f t="shared" si="23"/>
        <v>33</v>
      </c>
      <c r="E82" s="32">
        <f t="shared" si="24"/>
        <v>109.09090909090908</v>
      </c>
      <c r="F82" s="33">
        <f t="shared" si="25"/>
        <v>100</v>
      </c>
      <c r="G82" s="46" t="s">
        <v>72</v>
      </c>
      <c r="H82" s="46"/>
      <c r="I82" s="36">
        <f t="shared" si="26"/>
        <v>0.91666666666666674</v>
      </c>
      <c r="J82" s="37">
        <f t="shared" si="27"/>
        <v>1</v>
      </c>
      <c r="K82" s="38">
        <f t="shared" si="28"/>
        <v>1</v>
      </c>
      <c r="L82" s="39"/>
      <c r="M82" s="44"/>
    </row>
    <row r="83" spans="1:13" ht="18.75" customHeight="1" x14ac:dyDescent="0.3">
      <c r="A83" s="28">
        <f t="shared" si="29"/>
        <v>67</v>
      </c>
      <c r="B83" s="40" t="s">
        <v>150</v>
      </c>
      <c r="C83" s="41">
        <v>0.55000000000000004</v>
      </c>
      <c r="D83" s="31">
        <f t="shared" si="23"/>
        <v>33</v>
      </c>
      <c r="E83" s="32">
        <f t="shared" si="24"/>
        <v>109.09090909090908</v>
      </c>
      <c r="F83" s="33">
        <f t="shared" si="25"/>
        <v>100</v>
      </c>
      <c r="G83" s="43" t="s">
        <v>72</v>
      </c>
      <c r="H83" s="46"/>
      <c r="I83" s="36">
        <f t="shared" si="26"/>
        <v>0.91666666666666674</v>
      </c>
      <c r="J83" s="37">
        <f t="shared" si="27"/>
        <v>1</v>
      </c>
      <c r="K83" s="38">
        <f t="shared" si="28"/>
        <v>1</v>
      </c>
      <c r="L83" s="38"/>
      <c r="M83" s="44"/>
    </row>
    <row r="84" spans="1:13" ht="18.75" customHeight="1" x14ac:dyDescent="0.3">
      <c r="A84" s="28">
        <f t="shared" si="29"/>
        <v>68</v>
      </c>
      <c r="B84" s="40" t="s">
        <v>175</v>
      </c>
      <c r="C84" s="41">
        <v>0.65</v>
      </c>
      <c r="D84" s="31">
        <f t="shared" si="23"/>
        <v>39</v>
      </c>
      <c r="E84" s="32">
        <f t="shared" si="24"/>
        <v>92.307692307692307</v>
      </c>
      <c r="F84" s="33">
        <f t="shared" si="25"/>
        <v>100</v>
      </c>
      <c r="G84" s="43" t="s">
        <v>30</v>
      </c>
      <c r="H84" s="46"/>
      <c r="I84" s="36">
        <f t="shared" si="26"/>
        <v>1.0833333333333333</v>
      </c>
      <c r="J84" s="37">
        <f t="shared" si="27"/>
        <v>1</v>
      </c>
      <c r="K84" s="38">
        <f t="shared" si="28"/>
        <v>1</v>
      </c>
      <c r="L84" s="38"/>
      <c r="M84" s="44"/>
    </row>
    <row r="85" spans="1:13" ht="18.75" customHeight="1" x14ac:dyDescent="0.3">
      <c r="A85" s="28">
        <f t="shared" si="29"/>
        <v>69</v>
      </c>
      <c r="B85" s="40" t="s">
        <v>176</v>
      </c>
      <c r="C85" s="41">
        <v>0.45</v>
      </c>
      <c r="D85" s="31">
        <f t="shared" si="23"/>
        <v>27</v>
      </c>
      <c r="E85" s="32">
        <f t="shared" si="24"/>
        <v>133.33333333333334</v>
      </c>
      <c r="F85" s="33">
        <f t="shared" si="25"/>
        <v>100</v>
      </c>
      <c r="G85" s="43" t="s">
        <v>72</v>
      </c>
      <c r="H85" s="46"/>
      <c r="I85" s="36">
        <f t="shared" si="26"/>
        <v>0.75</v>
      </c>
      <c r="J85" s="37">
        <f t="shared" si="27"/>
        <v>1</v>
      </c>
      <c r="K85" s="38">
        <f t="shared" si="28"/>
        <v>0.75</v>
      </c>
      <c r="L85" s="38"/>
      <c r="M85" s="44"/>
    </row>
    <row r="86" spans="1:13" ht="18.75" customHeight="1" x14ac:dyDescent="0.3">
      <c r="A86" s="28">
        <f t="shared" si="29"/>
        <v>70</v>
      </c>
      <c r="B86" s="48" t="s">
        <v>172</v>
      </c>
      <c r="C86" s="45">
        <v>0.3</v>
      </c>
      <c r="D86" s="31">
        <f t="shared" si="23"/>
        <v>18</v>
      </c>
      <c r="E86" s="32">
        <f t="shared" si="24"/>
        <v>200</v>
      </c>
      <c r="F86" s="33">
        <f t="shared" si="25"/>
        <v>100</v>
      </c>
      <c r="G86" s="46" t="s">
        <v>33</v>
      </c>
      <c r="H86" s="46"/>
      <c r="I86" s="36">
        <f t="shared" si="26"/>
        <v>0.5</v>
      </c>
      <c r="J86" s="37">
        <f t="shared" si="27"/>
        <v>1</v>
      </c>
      <c r="K86" s="38">
        <f t="shared" si="28"/>
        <v>0.5</v>
      </c>
      <c r="L86" s="38"/>
      <c r="M86" s="44"/>
    </row>
    <row r="87" spans="1:13" ht="18.75" customHeight="1" x14ac:dyDescent="0.3">
      <c r="A87" s="28">
        <f t="shared" si="29"/>
        <v>71</v>
      </c>
      <c r="B87" s="48" t="s">
        <v>173</v>
      </c>
      <c r="C87" s="45">
        <v>0.3</v>
      </c>
      <c r="D87" s="31">
        <f t="shared" si="23"/>
        <v>18</v>
      </c>
      <c r="E87" s="32">
        <f t="shared" si="24"/>
        <v>200</v>
      </c>
      <c r="F87" s="33">
        <f t="shared" si="25"/>
        <v>100</v>
      </c>
      <c r="G87" s="46" t="s">
        <v>30</v>
      </c>
      <c r="H87" s="46"/>
      <c r="I87" s="36">
        <f t="shared" si="26"/>
        <v>0.5</v>
      </c>
      <c r="J87" s="37">
        <f t="shared" si="27"/>
        <v>1</v>
      </c>
      <c r="K87" s="38">
        <f t="shared" si="28"/>
        <v>0.5</v>
      </c>
      <c r="L87" s="38"/>
      <c r="M87" s="44"/>
    </row>
    <row r="88" spans="1:13" ht="18.75" customHeight="1" x14ac:dyDescent="0.3">
      <c r="A88" s="28">
        <f t="shared" si="29"/>
        <v>72</v>
      </c>
      <c r="B88" s="48" t="s">
        <v>170</v>
      </c>
      <c r="C88" s="45">
        <v>1.2</v>
      </c>
      <c r="D88" s="31">
        <f t="shared" si="23"/>
        <v>72</v>
      </c>
      <c r="E88" s="32">
        <f t="shared" si="24"/>
        <v>50</v>
      </c>
      <c r="F88" s="33">
        <f t="shared" si="25"/>
        <v>100</v>
      </c>
      <c r="G88" s="46" t="s">
        <v>30</v>
      </c>
      <c r="H88" s="46"/>
      <c r="I88" s="36">
        <f t="shared" si="26"/>
        <v>2</v>
      </c>
      <c r="J88" s="37">
        <f t="shared" si="27"/>
        <v>2</v>
      </c>
      <c r="K88" s="38">
        <f t="shared" si="28"/>
        <v>2</v>
      </c>
      <c r="L88" s="38"/>
      <c r="M88" s="44"/>
    </row>
    <row r="89" spans="1:13" ht="18.75" customHeight="1" x14ac:dyDescent="0.3">
      <c r="A89" s="28">
        <f t="shared" si="29"/>
        <v>73</v>
      </c>
      <c r="B89" s="48" t="s">
        <v>178</v>
      </c>
      <c r="C89" s="45">
        <v>0.9</v>
      </c>
      <c r="D89" s="31">
        <f t="shared" ref="D89" si="64">60*C89</f>
        <v>54</v>
      </c>
      <c r="E89" s="32">
        <f t="shared" ref="E89" si="65">IFERROR(60/C89,"")</f>
        <v>66.666666666666671</v>
      </c>
      <c r="F89" s="33">
        <f t="shared" si="25"/>
        <v>100</v>
      </c>
      <c r="G89" s="46" t="s">
        <v>30</v>
      </c>
      <c r="H89" s="46"/>
      <c r="I89" s="36">
        <f t="shared" ref="I89" si="66">IF(C89="","",($I$3/($I$2/60)*C89/60))</f>
        <v>1.5</v>
      </c>
      <c r="J89" s="37">
        <f t="shared" ref="J89" si="67">IFERROR(IF(I89&lt;(MROUND(I89,1)+0.125),(MROUND(I89,1)),(CEILING(I89,1))),"")</f>
        <v>2</v>
      </c>
      <c r="K89" s="38">
        <f t="shared" ref="K89" si="68">IFERROR(MROUND(I89,0.25),"")</f>
        <v>1.5</v>
      </c>
      <c r="L89" s="39"/>
      <c r="M89" s="44"/>
    </row>
    <row r="90" spans="1:13" ht="18.75" customHeight="1" x14ac:dyDescent="0.3">
      <c r="A90" s="28">
        <f>+A88+1</f>
        <v>73</v>
      </c>
      <c r="B90" s="40" t="s">
        <v>177</v>
      </c>
      <c r="C90" s="41">
        <v>0.6</v>
      </c>
      <c r="D90" s="31">
        <f t="shared" si="23"/>
        <v>36</v>
      </c>
      <c r="E90" s="32">
        <f t="shared" si="24"/>
        <v>100</v>
      </c>
      <c r="F90" s="33">
        <f t="shared" si="25"/>
        <v>100</v>
      </c>
      <c r="G90" s="43" t="s">
        <v>33</v>
      </c>
      <c r="H90" s="46"/>
      <c r="I90" s="36">
        <f t="shared" si="26"/>
        <v>1</v>
      </c>
      <c r="J90" s="37">
        <f t="shared" si="27"/>
        <v>1</v>
      </c>
      <c r="K90" s="38">
        <f t="shared" si="28"/>
        <v>1</v>
      </c>
      <c r="L90" s="38"/>
      <c r="M90" s="44"/>
    </row>
    <row r="91" spans="1:13" ht="18.75" customHeight="1" thickBot="1" x14ac:dyDescent="0.35">
      <c r="A91" s="28">
        <f>+A89+1</f>
        <v>74</v>
      </c>
      <c r="B91" s="40" t="s">
        <v>36</v>
      </c>
      <c r="C91" s="41">
        <v>1</v>
      </c>
      <c r="D91" s="42">
        <f t="shared" ref="D91" si="69">+C91*60</f>
        <v>60</v>
      </c>
      <c r="E91" s="32">
        <f t="shared" si="24"/>
        <v>60</v>
      </c>
      <c r="F91" s="33">
        <f t="shared" si="25"/>
        <v>100</v>
      </c>
      <c r="G91" s="34" t="s">
        <v>33</v>
      </c>
      <c r="H91" s="35"/>
      <c r="I91" s="36">
        <f t="shared" si="26"/>
        <v>1.6666666666666667</v>
      </c>
      <c r="J91" s="37">
        <f t="shared" si="27"/>
        <v>2</v>
      </c>
      <c r="K91" s="38">
        <f t="shared" si="28"/>
        <v>1.75</v>
      </c>
      <c r="M91" s="49"/>
    </row>
    <row r="92" spans="1:13" ht="18.75" customHeight="1" thickBot="1" x14ac:dyDescent="0.35">
      <c r="A92" s="122"/>
      <c r="B92" s="123"/>
      <c r="C92" s="26">
        <f>+SUM(C40:C91)</f>
        <v>25.549999999999994</v>
      </c>
      <c r="D92" s="26"/>
      <c r="E92" s="26"/>
      <c r="F92" s="26"/>
      <c r="G92" s="27"/>
      <c r="H92" s="27"/>
      <c r="I92" s="26">
        <f>+SUM(I40:I91)</f>
        <v>42.583333333333329</v>
      </c>
      <c r="J92" s="26">
        <f>+SUM(J40:J91)</f>
        <v>56</v>
      </c>
      <c r="K92" s="26">
        <f>+SUM(K40:K91)</f>
        <v>42.5</v>
      </c>
      <c r="L92" s="26">
        <f>+SUM(L40:L91)</f>
        <v>0</v>
      </c>
      <c r="M92" s="47"/>
    </row>
    <row r="93" spans="1:13" ht="18.75" customHeight="1" thickBot="1" x14ac:dyDescent="0.35">
      <c r="A93" s="50"/>
      <c r="B93" s="50" t="s">
        <v>37</v>
      </c>
      <c r="C93" s="51">
        <f>C22+C39+C92</f>
        <v>41.449999999999989</v>
      </c>
      <c r="D93" s="52"/>
      <c r="E93" s="52"/>
      <c r="F93" s="53"/>
      <c r="G93" s="53"/>
      <c r="H93" s="50"/>
      <c r="I93" s="51">
        <f>I22+I39+I92</f>
        <v>69.083333333333329</v>
      </c>
      <c r="J93" s="51">
        <f>J22+J39+J92</f>
        <v>88</v>
      </c>
      <c r="K93" s="51">
        <f>K22+K39+K92</f>
        <v>68.75</v>
      </c>
      <c r="L93" s="51">
        <f>L22+L39+L92</f>
        <v>0</v>
      </c>
      <c r="M93" s="54"/>
    </row>
    <row r="94" spans="1:13" ht="18.75" customHeight="1" x14ac:dyDescent="0.3">
      <c r="A94" s="28">
        <f>+A91+1</f>
        <v>75</v>
      </c>
      <c r="B94" s="29" t="s">
        <v>38</v>
      </c>
      <c r="C94" s="30"/>
      <c r="D94" s="42">
        <f>C94*60</f>
        <v>0</v>
      </c>
      <c r="E94" s="32" t="str">
        <f t="shared" ref="E94:E101" si="70">IFERROR(60/C94,"")</f>
        <v/>
      </c>
      <c r="F94" s="33">
        <f t="shared" ref="F94:F101" si="71">+$K$3/($K$2/60)</f>
        <v>100</v>
      </c>
      <c r="G94" s="34" t="s">
        <v>33</v>
      </c>
      <c r="H94" s="35"/>
      <c r="I94" s="36" t="str">
        <f t="shared" ref="I94:I101" si="72">IF(C94="","",($I$3/($I$2/60)*C94/60))</f>
        <v/>
      </c>
      <c r="J94" s="37" t="str">
        <f t="shared" ref="J94:J101" si="73">IFERROR(IF(I94&lt;(MROUND(I94,1)+0.125),(MROUND(I94,1)),(CEILING(I94,1))),"")</f>
        <v/>
      </c>
      <c r="K94" s="38" t="str">
        <f t="shared" ref="K94:K101" si="74">IFERROR(MROUND(I94,0.25),"")</f>
        <v/>
      </c>
      <c r="L94" s="38">
        <f>MROUND(F94/60,0.5)</f>
        <v>1.5</v>
      </c>
      <c r="M94" s="44"/>
    </row>
    <row r="95" spans="1:13" ht="18.75" customHeight="1" x14ac:dyDescent="0.3">
      <c r="A95" s="28">
        <f>+A94+1</f>
        <v>76</v>
      </c>
      <c r="B95" s="40" t="s">
        <v>39</v>
      </c>
      <c r="C95" s="41">
        <v>1</v>
      </c>
      <c r="D95" s="42">
        <f>+C95*60</f>
        <v>60</v>
      </c>
      <c r="E95" s="32">
        <f t="shared" si="70"/>
        <v>60</v>
      </c>
      <c r="F95" s="33">
        <f t="shared" si="71"/>
        <v>100</v>
      </c>
      <c r="G95" s="55" t="s">
        <v>28</v>
      </c>
      <c r="H95" s="56"/>
      <c r="I95" s="36">
        <f t="shared" si="72"/>
        <v>1.6666666666666667</v>
      </c>
      <c r="J95" s="37">
        <f t="shared" si="73"/>
        <v>2</v>
      </c>
      <c r="K95" s="38">
        <f t="shared" si="74"/>
        <v>1.75</v>
      </c>
      <c r="L95" s="57"/>
      <c r="M95" s="58"/>
    </row>
    <row r="96" spans="1:13" ht="18.75" customHeight="1" x14ac:dyDescent="0.3">
      <c r="A96" s="28">
        <f t="shared" ref="A96:A101" si="75">+A95+1</f>
        <v>77</v>
      </c>
      <c r="B96" s="29" t="s">
        <v>40</v>
      </c>
      <c r="C96" s="30"/>
      <c r="D96" s="42">
        <f t="shared" ref="D96:D99" si="76">+C96*60</f>
        <v>0</v>
      </c>
      <c r="E96" s="32" t="str">
        <f t="shared" si="70"/>
        <v/>
      </c>
      <c r="F96" s="33">
        <f t="shared" si="71"/>
        <v>100</v>
      </c>
      <c r="G96" s="34" t="s">
        <v>33</v>
      </c>
      <c r="H96" s="35"/>
      <c r="I96" s="36" t="str">
        <f t="shared" si="72"/>
        <v/>
      </c>
      <c r="J96" s="37" t="str">
        <f t="shared" si="73"/>
        <v/>
      </c>
      <c r="K96" s="38" t="str">
        <f t="shared" si="74"/>
        <v/>
      </c>
      <c r="L96" s="38">
        <f>MROUND(F96/120,0.5)</f>
        <v>1</v>
      </c>
      <c r="M96" s="44"/>
    </row>
    <row r="97" spans="1:14" ht="18.75" customHeight="1" x14ac:dyDescent="0.3">
      <c r="A97" s="28">
        <f t="shared" si="75"/>
        <v>78</v>
      </c>
      <c r="B97" s="29" t="s">
        <v>41</v>
      </c>
      <c r="C97" s="30">
        <v>0.45</v>
      </c>
      <c r="D97" s="42">
        <f t="shared" si="76"/>
        <v>27</v>
      </c>
      <c r="E97" s="32">
        <f t="shared" si="70"/>
        <v>133.33333333333334</v>
      </c>
      <c r="F97" s="33">
        <f t="shared" si="71"/>
        <v>100</v>
      </c>
      <c r="G97" s="34" t="s">
        <v>42</v>
      </c>
      <c r="H97" s="35"/>
      <c r="I97" s="36">
        <f t="shared" si="72"/>
        <v>0.75</v>
      </c>
      <c r="J97" s="37">
        <f t="shared" si="73"/>
        <v>1</v>
      </c>
      <c r="K97" s="38">
        <f t="shared" si="74"/>
        <v>0.75</v>
      </c>
      <c r="L97" s="38"/>
      <c r="M97" s="44"/>
    </row>
    <row r="98" spans="1:14" ht="18.75" customHeight="1" x14ac:dyDescent="0.3">
      <c r="A98" s="28">
        <f t="shared" si="75"/>
        <v>79</v>
      </c>
      <c r="B98" s="40" t="s">
        <v>43</v>
      </c>
      <c r="C98" s="41">
        <v>0.45</v>
      </c>
      <c r="D98" s="42">
        <f>+C98*60</f>
        <v>27</v>
      </c>
      <c r="E98" s="32">
        <f t="shared" si="70"/>
        <v>133.33333333333334</v>
      </c>
      <c r="F98" s="33">
        <f t="shared" si="71"/>
        <v>100</v>
      </c>
      <c r="G98" s="34" t="s">
        <v>44</v>
      </c>
      <c r="H98" s="35"/>
      <c r="I98" s="36">
        <f t="shared" si="72"/>
        <v>0.75</v>
      </c>
      <c r="J98" s="37">
        <f t="shared" si="73"/>
        <v>1</v>
      </c>
      <c r="K98" s="38">
        <f t="shared" si="74"/>
        <v>0.75</v>
      </c>
      <c r="L98" s="38"/>
      <c r="M98" s="44"/>
    </row>
    <row r="99" spans="1:14" s="61" customFormat="1" ht="18.75" customHeight="1" x14ac:dyDescent="0.3">
      <c r="A99" s="28">
        <f t="shared" si="75"/>
        <v>80</v>
      </c>
      <c r="B99" s="40" t="s">
        <v>45</v>
      </c>
      <c r="C99" s="41">
        <v>0.7</v>
      </c>
      <c r="D99" s="42">
        <f t="shared" si="76"/>
        <v>42</v>
      </c>
      <c r="E99" s="32">
        <f t="shared" si="70"/>
        <v>85.714285714285722</v>
      </c>
      <c r="F99" s="33">
        <f t="shared" si="71"/>
        <v>100</v>
      </c>
      <c r="G99" s="59" t="s">
        <v>33</v>
      </c>
      <c r="H99" s="35"/>
      <c r="I99" s="36">
        <f t="shared" si="72"/>
        <v>1.1666666666666667</v>
      </c>
      <c r="J99" s="37">
        <f t="shared" si="73"/>
        <v>2</v>
      </c>
      <c r="K99" s="38">
        <f t="shared" si="74"/>
        <v>1.25</v>
      </c>
      <c r="L99" s="57"/>
      <c r="M99" s="60"/>
      <c r="N99" s="1"/>
    </row>
    <row r="100" spans="1:14" ht="18.75" customHeight="1" x14ac:dyDescent="0.3">
      <c r="A100" s="28">
        <f t="shared" si="75"/>
        <v>81</v>
      </c>
      <c r="B100" s="40" t="s">
        <v>46</v>
      </c>
      <c r="C100" s="41">
        <v>0.45</v>
      </c>
      <c r="D100" s="55">
        <f>C100*60</f>
        <v>27</v>
      </c>
      <c r="E100" s="32">
        <f t="shared" si="70"/>
        <v>133.33333333333334</v>
      </c>
      <c r="F100" s="33">
        <f t="shared" si="71"/>
        <v>100</v>
      </c>
      <c r="G100" s="55" t="s">
        <v>33</v>
      </c>
      <c r="H100" s="56"/>
      <c r="I100" s="36">
        <f t="shared" si="72"/>
        <v>0.75</v>
      </c>
      <c r="J100" s="37">
        <f t="shared" si="73"/>
        <v>1</v>
      </c>
      <c r="K100" s="38">
        <f t="shared" si="74"/>
        <v>0.75</v>
      </c>
      <c r="L100" s="62"/>
      <c r="M100" s="60"/>
    </row>
    <row r="101" spans="1:14" ht="18.75" customHeight="1" thickBot="1" x14ac:dyDescent="0.35">
      <c r="A101" s="28">
        <f t="shared" si="75"/>
        <v>82</v>
      </c>
      <c r="B101" s="40" t="s">
        <v>47</v>
      </c>
      <c r="C101" s="41">
        <v>0.45</v>
      </c>
      <c r="D101" s="55">
        <f>C101*60</f>
        <v>27</v>
      </c>
      <c r="E101" s="32">
        <f t="shared" si="70"/>
        <v>133.33333333333334</v>
      </c>
      <c r="F101" s="33">
        <f t="shared" si="71"/>
        <v>100</v>
      </c>
      <c r="G101" s="55" t="s">
        <v>33</v>
      </c>
      <c r="H101" s="56"/>
      <c r="I101" s="36">
        <f t="shared" si="72"/>
        <v>0.75</v>
      </c>
      <c r="J101" s="37">
        <f t="shared" si="73"/>
        <v>1</v>
      </c>
      <c r="K101" s="38">
        <f t="shared" si="74"/>
        <v>0.75</v>
      </c>
      <c r="L101" s="62"/>
      <c r="M101" s="60"/>
    </row>
    <row r="102" spans="1:14" s="14" customFormat="1" ht="18.75" customHeight="1" thickBot="1" x14ac:dyDescent="0.35">
      <c r="A102" s="63"/>
      <c r="B102" s="64"/>
      <c r="C102" s="65">
        <f>+SUM(C94:C101)</f>
        <v>3.5</v>
      </c>
      <c r="D102" s="66"/>
      <c r="E102" s="67"/>
      <c r="F102" s="66"/>
      <c r="G102" s="67"/>
      <c r="H102" s="68"/>
      <c r="I102" s="65">
        <f>+SUM(I94:I101)</f>
        <v>5.8333333333333339</v>
      </c>
      <c r="J102" s="65">
        <f>+SUM(J94:J101)</f>
        <v>8</v>
      </c>
      <c r="K102" s="65">
        <f>+SUM(K94:K101)</f>
        <v>6</v>
      </c>
      <c r="L102" s="65">
        <f>+SUM(L94:L101)</f>
        <v>2.5</v>
      </c>
      <c r="M102" s="69"/>
    </row>
    <row r="103" spans="1:14" ht="18.75" customHeight="1" thickBot="1" x14ac:dyDescent="0.35">
      <c r="A103" s="50"/>
      <c r="B103" s="70"/>
      <c r="C103" s="51">
        <f>C102+C93</f>
        <v>44.949999999999989</v>
      </c>
      <c r="D103" s="52"/>
      <c r="E103" s="52"/>
      <c r="F103" s="53"/>
      <c r="G103" s="53"/>
      <c r="H103" s="50"/>
      <c r="I103" s="51">
        <f>I102+I93</f>
        <v>74.916666666666657</v>
      </c>
      <c r="J103" s="51">
        <f>J102+J93</f>
        <v>96</v>
      </c>
      <c r="K103" s="51">
        <f>K102+K93</f>
        <v>74.75</v>
      </c>
      <c r="L103" s="51">
        <f>L102+L93</f>
        <v>2.5</v>
      </c>
      <c r="M103" s="54"/>
    </row>
    <row r="104" spans="1:14" ht="18.75" customHeight="1" thickBot="1" x14ac:dyDescent="0.35">
      <c r="A104" s="71"/>
      <c r="B104" s="14"/>
      <c r="C104" s="72"/>
      <c r="D104" s="73"/>
      <c r="E104" s="73"/>
      <c r="F104" s="74"/>
      <c r="G104" s="74"/>
      <c r="H104" s="15"/>
      <c r="I104" s="72"/>
      <c r="J104" s="98" t="s">
        <v>2</v>
      </c>
      <c r="K104" s="98" t="s">
        <v>104</v>
      </c>
      <c r="L104" s="98" t="s">
        <v>105</v>
      </c>
      <c r="M104" s="98" t="s">
        <v>106</v>
      </c>
    </row>
    <row r="105" spans="1:14" ht="18.75" customHeight="1" thickBot="1" x14ac:dyDescent="0.35">
      <c r="A105" s="4"/>
      <c r="B105" s="124" t="s">
        <v>48</v>
      </c>
      <c r="C105" s="124"/>
      <c r="D105" s="75" t="s">
        <v>49</v>
      </c>
      <c r="E105" s="75" t="s">
        <v>50</v>
      </c>
      <c r="F105" s="75" t="s">
        <v>49</v>
      </c>
      <c r="G105" s="75" t="s">
        <v>50</v>
      </c>
      <c r="H105" s="9" t="s">
        <v>92</v>
      </c>
      <c r="I105" s="8">
        <v>700000</v>
      </c>
      <c r="J105" s="90">
        <f>IF(TEXT(I107+I109,"dddd")="Friday",I107+I109+1,I107+I109)</f>
        <v>45243</v>
      </c>
      <c r="K105" s="91">
        <f>+$I$3*N105</f>
        <v>300</v>
      </c>
      <c r="L105" s="91">
        <f>+$I$105-K105</f>
        <v>699700</v>
      </c>
      <c r="M105" s="97">
        <f>+J105-$I$107</f>
        <v>2</v>
      </c>
      <c r="N105" s="100">
        <v>0.3</v>
      </c>
    </row>
    <row r="106" spans="1:14" ht="18.75" customHeight="1" thickBot="1" x14ac:dyDescent="0.35">
      <c r="A106" s="76"/>
      <c r="B106" s="77" t="s">
        <v>51</v>
      </c>
      <c r="C106" s="78">
        <f>K103</f>
        <v>74.75</v>
      </c>
      <c r="D106" s="79" t="s">
        <v>30</v>
      </c>
      <c r="E106" s="86">
        <f t="shared" ref="E106:E123" si="77">SUMIF($G$9:$G$101,D106,$J$9:$J$101)</f>
        <v>38</v>
      </c>
      <c r="F106" s="81" t="s">
        <v>70</v>
      </c>
      <c r="G106" s="86">
        <f t="shared" ref="G106:G123" si="78">SUMIF($G$9:$G$101,F106,$J$9:$J$101)</f>
        <v>0</v>
      </c>
      <c r="H106" s="11" t="s">
        <v>98</v>
      </c>
      <c r="I106" s="8">
        <v>1</v>
      </c>
      <c r="J106" s="90">
        <f>IF(TEXT(J105+1,"dddd")="Friday",J105+2,J105+1)</f>
        <v>45244</v>
      </c>
      <c r="K106" s="91">
        <f t="shared" ref="K106:K123" si="79">+$I$3*N106</f>
        <v>350</v>
      </c>
      <c r="L106" s="91">
        <f t="shared" ref="L106:L125" si="80">+L105-K106</f>
        <v>699350</v>
      </c>
      <c r="M106" s="97">
        <f t="shared" ref="M106:M125" si="81">+J106-$I$107</f>
        <v>3</v>
      </c>
      <c r="N106" s="100">
        <v>0.35</v>
      </c>
    </row>
    <row r="107" spans="1:14" ht="18.75" customHeight="1" thickBot="1" x14ac:dyDescent="0.35">
      <c r="A107" s="76"/>
      <c r="B107" s="77" t="s">
        <v>52</v>
      </c>
      <c r="C107" s="78">
        <f>L103</f>
        <v>2.5</v>
      </c>
      <c r="D107" s="81" t="s">
        <v>53</v>
      </c>
      <c r="E107" s="80">
        <f t="shared" si="77"/>
        <v>1</v>
      </c>
      <c r="F107" s="81" t="s">
        <v>71</v>
      </c>
      <c r="G107" s="80">
        <f t="shared" si="78"/>
        <v>1</v>
      </c>
      <c r="H107" s="9" t="s">
        <v>94</v>
      </c>
      <c r="I107" s="10">
        <v>45241</v>
      </c>
      <c r="J107" s="90">
        <f t="shared" ref="J107:J123" si="82">IF(TEXT(J106+1,"dddd")="Friday",J106+2,J106+1)</f>
        <v>45245</v>
      </c>
      <c r="K107" s="91">
        <f t="shared" si="79"/>
        <v>400</v>
      </c>
      <c r="L107" s="91">
        <f t="shared" si="80"/>
        <v>698950</v>
      </c>
      <c r="M107" s="97">
        <f t="shared" si="81"/>
        <v>4</v>
      </c>
      <c r="N107" s="100">
        <v>0.4</v>
      </c>
    </row>
    <row r="108" spans="1:14" ht="18.75" customHeight="1" thickBot="1" x14ac:dyDescent="0.35">
      <c r="A108" s="76"/>
      <c r="B108" s="77" t="s">
        <v>69</v>
      </c>
      <c r="C108" s="78">
        <f>+IF($C$106&lt;25,0.5,1)</f>
        <v>1</v>
      </c>
      <c r="D108" s="81" t="s">
        <v>54</v>
      </c>
      <c r="E108" s="80">
        <f t="shared" si="77"/>
        <v>0</v>
      </c>
      <c r="F108" s="81" t="s">
        <v>57</v>
      </c>
      <c r="G108" s="80">
        <f t="shared" si="78"/>
        <v>0</v>
      </c>
      <c r="J108" s="90">
        <f t="shared" si="82"/>
        <v>45246</v>
      </c>
      <c r="K108" s="91">
        <f t="shared" si="79"/>
        <v>450</v>
      </c>
      <c r="L108" s="91">
        <f t="shared" si="80"/>
        <v>698500</v>
      </c>
      <c r="M108" s="97">
        <f t="shared" si="81"/>
        <v>5</v>
      </c>
      <c r="N108" s="100">
        <v>0.45</v>
      </c>
    </row>
    <row r="109" spans="1:14" ht="18.75" customHeight="1" thickBot="1" x14ac:dyDescent="0.35">
      <c r="A109" s="76"/>
      <c r="B109" s="77" t="s">
        <v>55</v>
      </c>
      <c r="C109" s="78">
        <f>+IF($C$106&lt;25,0.5,1)</f>
        <v>1</v>
      </c>
      <c r="D109" s="81" t="s">
        <v>31</v>
      </c>
      <c r="E109" s="80">
        <f t="shared" si="77"/>
        <v>0</v>
      </c>
      <c r="F109" s="81" t="s">
        <v>59</v>
      </c>
      <c r="G109" s="80">
        <f t="shared" si="78"/>
        <v>0</v>
      </c>
      <c r="H109" s="9" t="s">
        <v>93</v>
      </c>
      <c r="I109" s="9">
        <f>+IF((C3&lt;9.99),0.5,IF(AND(C3&gt;9.999,C3&lt;19.99),1,IF(AND(C3&gt;19.999,C3&lt;35),1.5,2)))*I106</f>
        <v>2</v>
      </c>
      <c r="J109" s="90">
        <f t="shared" si="82"/>
        <v>45248</v>
      </c>
      <c r="K109" s="91">
        <f t="shared" si="79"/>
        <v>500</v>
      </c>
      <c r="L109" s="91">
        <f t="shared" si="80"/>
        <v>698000</v>
      </c>
      <c r="M109" s="97">
        <f t="shared" si="81"/>
        <v>7</v>
      </c>
      <c r="N109" s="100">
        <v>0.5</v>
      </c>
    </row>
    <row r="110" spans="1:14" ht="18.75" customHeight="1" thickBot="1" x14ac:dyDescent="0.35">
      <c r="A110" s="76"/>
      <c r="B110" s="81" t="s">
        <v>102</v>
      </c>
      <c r="C110" s="78">
        <v>2</v>
      </c>
      <c r="D110" s="81" t="s">
        <v>72</v>
      </c>
      <c r="E110" s="80">
        <f t="shared" si="77"/>
        <v>12</v>
      </c>
      <c r="F110" s="81" t="s">
        <v>73</v>
      </c>
      <c r="G110" s="80">
        <f t="shared" si="78"/>
        <v>0</v>
      </c>
      <c r="H110" s="10" t="s">
        <v>95</v>
      </c>
      <c r="I110" s="93">
        <f>+I105/I3/I106</f>
        <v>700</v>
      </c>
      <c r="J110" s="90">
        <f t="shared" si="82"/>
        <v>45249</v>
      </c>
      <c r="K110" s="91">
        <f t="shared" si="79"/>
        <v>550</v>
      </c>
      <c r="L110" s="91">
        <f t="shared" si="80"/>
        <v>697450</v>
      </c>
      <c r="M110" s="97">
        <f t="shared" si="81"/>
        <v>8</v>
      </c>
      <c r="N110" s="100">
        <v>0.55000000000000004</v>
      </c>
    </row>
    <row r="111" spans="1:14" ht="18.75" customHeight="1" thickBot="1" x14ac:dyDescent="0.35">
      <c r="A111" s="76"/>
      <c r="B111" s="82" t="s">
        <v>56</v>
      </c>
      <c r="C111" s="83">
        <f>SUM(C106:C110)</f>
        <v>81.25</v>
      </c>
      <c r="D111" s="81" t="s">
        <v>32</v>
      </c>
      <c r="E111" s="80">
        <f t="shared" si="77"/>
        <v>0</v>
      </c>
      <c r="F111" s="81" t="s">
        <v>74</v>
      </c>
      <c r="G111" s="80">
        <f t="shared" si="78"/>
        <v>0</v>
      </c>
      <c r="H111" s="11" t="s">
        <v>97</v>
      </c>
      <c r="I111" s="92">
        <f>+IF((I105&lt;2499.9),30%,IF(AND(I105&gt;2499.99,I105&lt;4999.9),50%,IF(AND(I105&gt;4999.99,I105&lt;9999.9),65%,IF(AND(I105&gt;9999.99,I105&lt;19999.9),80%,IF(AND(I105&gt;19999.99,I105&lt;49999.9),85%,IF(AND(I105&gt;49999.99,I105&lt;74999.9),90%,IF(AND(I105&gt;74999.99,I105&lt;99999.9),95%,100%)))))))</f>
        <v>1</v>
      </c>
      <c r="J111" s="90">
        <f t="shared" si="82"/>
        <v>45250</v>
      </c>
      <c r="K111" s="91">
        <f t="shared" si="79"/>
        <v>600</v>
      </c>
      <c r="L111" s="91">
        <f t="shared" si="80"/>
        <v>696850</v>
      </c>
      <c r="M111" s="97">
        <f t="shared" si="81"/>
        <v>9</v>
      </c>
      <c r="N111" s="100">
        <v>0.6</v>
      </c>
    </row>
    <row r="112" spans="1:14" ht="18.75" customHeight="1" thickBot="1" x14ac:dyDescent="0.35">
      <c r="A112" s="76"/>
      <c r="B112" s="14"/>
      <c r="C112" s="16"/>
      <c r="D112" s="81" t="s">
        <v>29</v>
      </c>
      <c r="E112" s="80">
        <f t="shared" si="77"/>
        <v>2</v>
      </c>
      <c r="F112" s="81" t="s">
        <v>75</v>
      </c>
      <c r="G112" s="80">
        <f t="shared" si="78"/>
        <v>0</v>
      </c>
      <c r="H112" s="11" t="s">
        <v>96</v>
      </c>
      <c r="I112" s="12">
        <f>(I110+I110*(1-K4/1)+I109)+(I110+I110*(1-K4/1)+I109)/7</f>
        <v>802.28571428571433</v>
      </c>
      <c r="J112" s="90">
        <f t="shared" si="82"/>
        <v>45251</v>
      </c>
      <c r="K112" s="91">
        <f t="shared" si="79"/>
        <v>650</v>
      </c>
      <c r="L112" s="91">
        <f t="shared" si="80"/>
        <v>696200</v>
      </c>
      <c r="M112" s="97">
        <f t="shared" si="81"/>
        <v>10</v>
      </c>
      <c r="N112" s="100">
        <v>0.65</v>
      </c>
    </row>
    <row r="113" spans="1:14" ht="18.75" customHeight="1" thickBot="1" x14ac:dyDescent="0.35">
      <c r="A113" s="76"/>
      <c r="B113" s="14"/>
      <c r="C113" s="1"/>
      <c r="D113" s="81" t="s">
        <v>64</v>
      </c>
      <c r="E113" s="80">
        <f t="shared" si="77"/>
        <v>0</v>
      </c>
      <c r="F113" s="81" t="s">
        <v>58</v>
      </c>
      <c r="G113" s="80">
        <f t="shared" si="78"/>
        <v>0</v>
      </c>
      <c r="H113" s="10" t="s">
        <v>99</v>
      </c>
      <c r="I113" s="94">
        <f>+I112*C111*55*I106</f>
        <v>3585214.2857142859</v>
      </c>
      <c r="J113" s="90">
        <f t="shared" si="82"/>
        <v>45252</v>
      </c>
      <c r="K113" s="91">
        <f t="shared" si="79"/>
        <v>700</v>
      </c>
      <c r="L113" s="91">
        <f t="shared" si="80"/>
        <v>695500</v>
      </c>
      <c r="M113" s="97">
        <f t="shared" si="81"/>
        <v>11</v>
      </c>
      <c r="N113" s="100">
        <v>0.7</v>
      </c>
    </row>
    <row r="114" spans="1:14" ht="18.75" customHeight="1" thickBot="1" x14ac:dyDescent="0.35">
      <c r="A114" s="76"/>
      <c r="B114" s="14"/>
      <c r="C114" s="1"/>
      <c r="D114" s="81" t="s">
        <v>65</v>
      </c>
      <c r="E114" s="80">
        <f t="shared" si="77"/>
        <v>1</v>
      </c>
      <c r="F114" s="81" t="s">
        <v>60</v>
      </c>
      <c r="G114" s="80">
        <f t="shared" si="78"/>
        <v>0</v>
      </c>
      <c r="H114" s="10" t="s">
        <v>100</v>
      </c>
      <c r="I114" s="95">
        <f>+I105*E5</f>
        <v>2590000</v>
      </c>
      <c r="J114" s="90">
        <f t="shared" si="82"/>
        <v>45253</v>
      </c>
      <c r="K114" s="91">
        <f t="shared" si="79"/>
        <v>750</v>
      </c>
      <c r="L114" s="91">
        <f t="shared" si="80"/>
        <v>694750</v>
      </c>
      <c r="M114" s="97">
        <f t="shared" si="81"/>
        <v>12</v>
      </c>
      <c r="N114" s="100">
        <v>0.75</v>
      </c>
    </row>
    <row r="115" spans="1:14" ht="18.75" customHeight="1" thickBot="1" x14ac:dyDescent="0.35">
      <c r="A115" s="76"/>
      <c r="B115" s="14"/>
      <c r="C115" s="1"/>
      <c r="D115" s="81" t="s">
        <v>61</v>
      </c>
      <c r="E115" s="80">
        <f t="shared" si="77"/>
        <v>3</v>
      </c>
      <c r="F115" s="81" t="s">
        <v>76</v>
      </c>
      <c r="G115" s="80">
        <f t="shared" si="78"/>
        <v>0</v>
      </c>
      <c r="H115" s="10" t="s">
        <v>101</v>
      </c>
      <c r="I115" s="95">
        <f>+I114-I113</f>
        <v>-995214.28571428591</v>
      </c>
      <c r="J115" s="90">
        <f t="shared" si="82"/>
        <v>45255</v>
      </c>
      <c r="K115" s="91">
        <f t="shared" si="79"/>
        <v>800</v>
      </c>
      <c r="L115" s="91">
        <f t="shared" si="80"/>
        <v>693950</v>
      </c>
      <c r="M115" s="97">
        <f t="shared" si="81"/>
        <v>14</v>
      </c>
      <c r="N115" s="100">
        <v>0.8</v>
      </c>
    </row>
    <row r="116" spans="1:14" ht="18.75" customHeight="1" thickBot="1" x14ac:dyDescent="0.35">
      <c r="A116" s="76"/>
      <c r="B116" s="14"/>
      <c r="C116" s="1"/>
      <c r="D116" s="81" t="s">
        <v>35</v>
      </c>
      <c r="E116" s="80">
        <f t="shared" si="77"/>
        <v>6</v>
      </c>
      <c r="F116" s="81" t="s">
        <v>77</v>
      </c>
      <c r="G116" s="80">
        <f t="shared" si="78"/>
        <v>0</v>
      </c>
      <c r="H116" s="11" t="s">
        <v>103</v>
      </c>
      <c r="I116" s="96">
        <f>+I107+I112</f>
        <v>46043.285714285717</v>
      </c>
      <c r="J116" s="90">
        <f t="shared" si="82"/>
        <v>45256</v>
      </c>
      <c r="K116" s="91">
        <f t="shared" si="79"/>
        <v>850</v>
      </c>
      <c r="L116" s="91">
        <f t="shared" si="80"/>
        <v>693100</v>
      </c>
      <c r="M116" s="97">
        <f t="shared" si="81"/>
        <v>15</v>
      </c>
      <c r="N116" s="100">
        <v>0.85</v>
      </c>
    </row>
    <row r="117" spans="1:14" ht="18.75" customHeight="1" x14ac:dyDescent="0.3">
      <c r="A117" s="76"/>
      <c r="B117" s="14"/>
      <c r="C117" s="1"/>
      <c r="D117" s="81" t="s">
        <v>66</v>
      </c>
      <c r="E117" s="80">
        <f t="shared" si="77"/>
        <v>0</v>
      </c>
      <c r="F117" s="81" t="s">
        <v>78</v>
      </c>
      <c r="G117" s="80">
        <f t="shared" si="78"/>
        <v>0</v>
      </c>
      <c r="H117" s="1"/>
      <c r="I117" s="1"/>
      <c r="J117" s="90">
        <f t="shared" si="82"/>
        <v>45257</v>
      </c>
      <c r="K117" s="91">
        <f t="shared" si="79"/>
        <v>900</v>
      </c>
      <c r="L117" s="91">
        <f t="shared" si="80"/>
        <v>692200</v>
      </c>
      <c r="M117" s="97">
        <f t="shared" si="81"/>
        <v>16</v>
      </c>
      <c r="N117" s="100">
        <v>0.9</v>
      </c>
    </row>
    <row r="118" spans="1:14" ht="18.75" customHeight="1" x14ac:dyDescent="0.3">
      <c r="A118" s="76"/>
      <c r="B118" s="14"/>
      <c r="C118" s="16"/>
      <c r="D118" s="81" t="s">
        <v>62</v>
      </c>
      <c r="E118" s="80">
        <f t="shared" si="77"/>
        <v>0</v>
      </c>
      <c r="F118" s="81" t="s">
        <v>79</v>
      </c>
      <c r="G118" s="80">
        <f t="shared" si="78"/>
        <v>0</v>
      </c>
      <c r="H118" s="1"/>
      <c r="I118" s="1"/>
      <c r="J118" s="90">
        <f t="shared" si="82"/>
        <v>45258</v>
      </c>
      <c r="K118" s="91">
        <f t="shared" si="79"/>
        <v>950</v>
      </c>
      <c r="L118" s="91">
        <f t="shared" si="80"/>
        <v>691250</v>
      </c>
      <c r="M118" s="97">
        <f t="shared" si="81"/>
        <v>17</v>
      </c>
      <c r="N118" s="100">
        <v>0.95</v>
      </c>
    </row>
    <row r="119" spans="1:14" ht="18.75" customHeight="1" x14ac:dyDescent="0.3">
      <c r="A119" s="4"/>
      <c r="B119" s="14"/>
      <c r="C119" s="84"/>
      <c r="D119" s="81" t="s">
        <v>34</v>
      </c>
      <c r="E119" s="80">
        <f t="shared" si="77"/>
        <v>0</v>
      </c>
      <c r="F119" s="81" t="s">
        <v>80</v>
      </c>
      <c r="G119" s="80">
        <f t="shared" si="78"/>
        <v>0</v>
      </c>
      <c r="J119" s="90">
        <f t="shared" si="82"/>
        <v>45259</v>
      </c>
      <c r="K119" s="91">
        <f t="shared" si="79"/>
        <v>1000</v>
      </c>
      <c r="L119" s="91">
        <f t="shared" si="80"/>
        <v>690250</v>
      </c>
      <c r="M119" s="97">
        <f t="shared" si="81"/>
        <v>18</v>
      </c>
      <c r="N119" s="100">
        <v>1</v>
      </c>
    </row>
    <row r="120" spans="1:14" ht="18.75" customHeight="1" x14ac:dyDescent="0.3">
      <c r="A120" s="76"/>
      <c r="B120" s="14"/>
      <c r="C120" s="84"/>
      <c r="D120" s="81" t="s">
        <v>42</v>
      </c>
      <c r="E120" s="80">
        <f t="shared" si="77"/>
        <v>2</v>
      </c>
      <c r="F120" s="81" t="s">
        <v>81</v>
      </c>
      <c r="G120" s="80">
        <f t="shared" si="78"/>
        <v>1</v>
      </c>
      <c r="J120" s="90">
        <f t="shared" si="82"/>
        <v>45260</v>
      </c>
      <c r="K120" s="91">
        <f t="shared" si="79"/>
        <v>1050</v>
      </c>
      <c r="L120" s="91">
        <f t="shared" si="80"/>
        <v>689200</v>
      </c>
      <c r="M120" s="97">
        <f t="shared" si="81"/>
        <v>19</v>
      </c>
      <c r="N120" s="100">
        <v>1.05</v>
      </c>
    </row>
    <row r="121" spans="1:14" ht="18.75" customHeight="1" x14ac:dyDescent="0.3">
      <c r="A121" s="76"/>
      <c r="B121" s="14"/>
      <c r="C121" s="84"/>
      <c r="D121" s="81" t="s">
        <v>63</v>
      </c>
      <c r="E121" s="80">
        <f t="shared" si="77"/>
        <v>0</v>
      </c>
      <c r="F121" s="81" t="s">
        <v>33</v>
      </c>
      <c r="G121" s="80">
        <f t="shared" si="78"/>
        <v>17</v>
      </c>
      <c r="J121" s="90">
        <f t="shared" si="82"/>
        <v>45262</v>
      </c>
      <c r="K121" s="91">
        <f t="shared" si="79"/>
        <v>1100</v>
      </c>
      <c r="L121" s="91">
        <f t="shared" si="80"/>
        <v>688100</v>
      </c>
      <c r="M121" s="97">
        <f t="shared" si="81"/>
        <v>21</v>
      </c>
      <c r="N121" s="100">
        <v>1.1000000000000001</v>
      </c>
    </row>
    <row r="122" spans="1:14" ht="18.75" customHeight="1" x14ac:dyDescent="0.3">
      <c r="A122" s="76"/>
      <c r="B122" s="14"/>
      <c r="C122" s="84"/>
      <c r="D122" s="81" t="s">
        <v>82</v>
      </c>
      <c r="E122" s="80">
        <f t="shared" si="77"/>
        <v>0</v>
      </c>
      <c r="F122" s="81" t="s">
        <v>44</v>
      </c>
      <c r="G122" s="80">
        <f t="shared" si="78"/>
        <v>1</v>
      </c>
      <c r="J122" s="90">
        <f t="shared" si="82"/>
        <v>45263</v>
      </c>
      <c r="K122" s="91">
        <f t="shared" si="79"/>
        <v>1150</v>
      </c>
      <c r="L122" s="91">
        <f t="shared" si="80"/>
        <v>686950</v>
      </c>
      <c r="M122" s="97">
        <f t="shared" si="81"/>
        <v>22</v>
      </c>
      <c r="N122" s="100">
        <v>1.1499999999999999</v>
      </c>
    </row>
    <row r="123" spans="1:14" ht="18.75" customHeight="1" thickBot="1" x14ac:dyDescent="0.35">
      <c r="A123" s="76"/>
      <c r="B123" s="14"/>
      <c r="C123" s="84"/>
      <c r="D123" s="85" t="s">
        <v>83</v>
      </c>
      <c r="E123" s="87">
        <f t="shared" si="77"/>
        <v>0</v>
      </c>
      <c r="F123" s="85" t="s">
        <v>28</v>
      </c>
      <c r="G123" s="87">
        <f t="shared" si="78"/>
        <v>9</v>
      </c>
      <c r="J123" s="90">
        <f t="shared" si="82"/>
        <v>45264</v>
      </c>
      <c r="K123" s="91">
        <f t="shared" si="79"/>
        <v>1200</v>
      </c>
      <c r="L123" s="91">
        <f t="shared" si="80"/>
        <v>685750</v>
      </c>
      <c r="M123" s="97">
        <f t="shared" si="81"/>
        <v>23</v>
      </c>
      <c r="N123" s="100">
        <v>1.2</v>
      </c>
    </row>
    <row r="124" spans="1:14" ht="18.75" customHeight="1" thickBot="1" x14ac:dyDescent="0.35">
      <c r="A124" s="76"/>
      <c r="B124" s="14"/>
      <c r="C124" s="84"/>
      <c r="F124" s="74"/>
      <c r="J124" s="97">
        <f>(J125-J123)-(J125-J123)/7</f>
        <v>667.95918367347201</v>
      </c>
      <c r="K124" s="91">
        <f>+J124*K125</f>
        <v>801551.02040816646</v>
      </c>
      <c r="L124" s="97">
        <f t="shared" si="80"/>
        <v>-115801.02040816646</v>
      </c>
      <c r="M124" s="97"/>
    </row>
    <row r="125" spans="1:14" ht="18.75" customHeight="1" thickBot="1" x14ac:dyDescent="0.35">
      <c r="A125" s="76"/>
      <c r="B125" s="14"/>
      <c r="C125" s="84"/>
      <c r="D125" s="115" t="s">
        <v>84</v>
      </c>
      <c r="E125" s="116"/>
      <c r="F125" s="116"/>
      <c r="G125" s="99">
        <f>+SUM(E106:E123,G106:G123)</f>
        <v>94</v>
      </c>
      <c r="J125" s="90">
        <f>+I116</f>
        <v>46043.285714285717</v>
      </c>
      <c r="K125" s="91">
        <f>+K123</f>
        <v>1200</v>
      </c>
      <c r="L125" s="97">
        <f t="shared" si="80"/>
        <v>-117001.02040816646</v>
      </c>
      <c r="M125" s="97">
        <f t="shared" si="81"/>
        <v>802.2857142857174</v>
      </c>
    </row>
    <row r="126" spans="1:14" ht="18.75" customHeight="1" x14ac:dyDescent="0.3">
      <c r="A126" s="76"/>
      <c r="B126" s="14"/>
      <c r="E126" s="74"/>
      <c r="G126" s="16"/>
      <c r="I126" s="1"/>
      <c r="J126" s="1"/>
      <c r="K126" s="84">
        <f>SUM(K105:K125)</f>
        <v>817001.02040816646</v>
      </c>
    </row>
    <row r="127" spans="1:14" ht="18.75" customHeight="1" x14ac:dyDescent="0.3">
      <c r="A127" s="76"/>
      <c r="B127" s="14"/>
      <c r="E127" s="74"/>
      <c r="G127" s="16"/>
      <c r="H127" s="16"/>
      <c r="I127" s="1"/>
      <c r="J127" s="1"/>
      <c r="K127" s="1"/>
      <c r="L127" s="1"/>
    </row>
    <row r="128" spans="1:14" ht="18.75" customHeight="1" x14ac:dyDescent="0.3">
      <c r="A128" s="76"/>
      <c r="B128" s="14"/>
      <c r="E128" s="74"/>
      <c r="G128" s="16"/>
      <c r="H128" s="16"/>
      <c r="I128" s="1"/>
      <c r="J128" s="1"/>
      <c r="K128" s="1"/>
      <c r="L128" s="1"/>
    </row>
    <row r="129" spans="1:14" ht="18.75" customHeight="1" x14ac:dyDescent="0.3">
      <c r="A129" s="76"/>
      <c r="B129" s="14"/>
      <c r="E129" s="74"/>
      <c r="G129" s="16"/>
      <c r="H129" s="16"/>
      <c r="I129" s="1"/>
      <c r="J129" s="1"/>
      <c r="K129" s="1"/>
      <c r="L129" s="1"/>
    </row>
    <row r="130" spans="1:14" ht="18.75" customHeight="1" x14ac:dyDescent="0.3">
      <c r="A130" s="76"/>
      <c r="B130" s="14"/>
      <c r="E130" s="74"/>
      <c r="G130" s="16"/>
      <c r="H130" s="16"/>
      <c r="I130" s="1"/>
      <c r="J130" s="1"/>
      <c r="K130" s="1"/>
      <c r="L130" s="1"/>
    </row>
    <row r="131" spans="1:14" ht="18.75" customHeight="1" x14ac:dyDescent="0.3">
      <c r="A131" s="76"/>
      <c r="B131" s="14"/>
      <c r="E131" s="74"/>
      <c r="G131" s="16"/>
      <c r="H131" s="16"/>
      <c r="I131" s="1"/>
      <c r="J131" s="1"/>
      <c r="K131" s="1"/>
      <c r="L131" s="1"/>
    </row>
    <row r="132" spans="1:14" ht="18.75" customHeight="1" x14ac:dyDescent="0.3">
      <c r="A132" s="76"/>
      <c r="B132" s="14"/>
      <c r="E132" s="74"/>
      <c r="G132" s="16"/>
      <c r="H132" s="16"/>
      <c r="I132" s="1"/>
      <c r="J132" s="1"/>
      <c r="K132" s="1"/>
      <c r="L132" s="1"/>
    </row>
    <row r="133" spans="1:14" ht="18.75" customHeight="1" x14ac:dyDescent="0.3">
      <c r="A133" s="76"/>
      <c r="B133" s="14"/>
      <c r="E133" s="74"/>
      <c r="G133" s="16"/>
      <c r="H133" s="16"/>
      <c r="I133" s="1"/>
      <c r="J133" s="1"/>
      <c r="K133" s="1"/>
      <c r="L133" s="1"/>
    </row>
    <row r="134" spans="1:14" ht="18.75" customHeight="1" x14ac:dyDescent="0.3">
      <c r="A134" s="76"/>
      <c r="B134" s="14"/>
      <c r="E134" s="74"/>
      <c r="G134" s="16"/>
      <c r="H134" s="16"/>
      <c r="I134" s="1"/>
      <c r="J134" s="1"/>
      <c r="K134" s="1"/>
      <c r="L134" s="1"/>
    </row>
    <row r="135" spans="1:14" ht="18.75" customHeight="1" x14ac:dyDescent="0.3">
      <c r="A135" s="76"/>
      <c r="B135" s="14"/>
      <c r="E135" s="74"/>
      <c r="G135" s="16"/>
      <c r="H135" s="16"/>
      <c r="I135" s="1"/>
      <c r="J135" s="1"/>
      <c r="K135" s="1"/>
      <c r="L135" s="1"/>
    </row>
    <row r="136" spans="1:14" ht="18.75" customHeight="1" x14ac:dyDescent="0.3">
      <c r="A136" s="76"/>
      <c r="B136" s="14"/>
      <c r="E136" s="74"/>
      <c r="G136" s="16"/>
      <c r="H136" s="16"/>
      <c r="I136" s="1"/>
      <c r="J136" s="1"/>
      <c r="K136" s="1"/>
      <c r="L136" s="1"/>
    </row>
    <row r="137" spans="1:14" ht="18.75" customHeight="1" x14ac:dyDescent="0.3">
      <c r="A137" s="76"/>
      <c r="D137" s="15"/>
      <c r="E137" s="74"/>
      <c r="G137" s="16"/>
      <c r="H137" s="16"/>
      <c r="I137" s="1"/>
      <c r="J137" s="1"/>
      <c r="K137" s="1"/>
      <c r="L137" s="1"/>
    </row>
    <row r="138" spans="1:14" ht="18.75" customHeight="1" x14ac:dyDescent="0.3">
      <c r="A138" s="76"/>
      <c r="D138" s="15"/>
      <c r="E138" s="74"/>
      <c r="G138" s="16"/>
      <c r="H138" s="16"/>
      <c r="I138" s="1"/>
      <c r="J138" s="1"/>
      <c r="K138" s="1"/>
      <c r="L138" s="1"/>
    </row>
    <row r="139" spans="1:14" ht="18.75" customHeight="1" x14ac:dyDescent="0.3">
      <c r="B139" s="14"/>
      <c r="C139" s="15"/>
      <c r="D139" s="15"/>
      <c r="E139" s="15"/>
      <c r="F139" s="15"/>
      <c r="G139" s="15"/>
      <c r="H139" s="15"/>
      <c r="I139" s="15"/>
      <c r="J139" s="15"/>
    </row>
    <row r="141" spans="1:14" s="2" customFormat="1" ht="18.75" customHeight="1" x14ac:dyDescent="0.3">
      <c r="A141" s="1"/>
      <c r="B141" s="1"/>
      <c r="L141" s="3"/>
      <c r="M141" s="1"/>
      <c r="N141" s="1"/>
    </row>
    <row r="142" spans="1:14" s="2" customFormat="1" ht="18.75" customHeight="1" x14ac:dyDescent="0.3">
      <c r="A142" s="1"/>
      <c r="B142" s="1"/>
      <c r="L142" s="3"/>
      <c r="M142" s="1"/>
      <c r="N142" s="1"/>
    </row>
    <row r="143" spans="1:14" s="2" customFormat="1" ht="18.75" customHeight="1" x14ac:dyDescent="0.3">
      <c r="A143" s="1"/>
      <c r="B143" s="1"/>
      <c r="L143" s="3"/>
      <c r="M143" s="1"/>
      <c r="N143" s="1"/>
    </row>
    <row r="144" spans="1:14" s="2" customFormat="1" ht="18.75" customHeight="1" x14ac:dyDescent="0.3">
      <c r="A144" s="1"/>
      <c r="B144" s="1"/>
      <c r="L144" s="3"/>
      <c r="M144" s="1"/>
      <c r="N144" s="1"/>
    </row>
    <row r="145" spans="1:14" s="2" customFormat="1" ht="18.75" customHeight="1" x14ac:dyDescent="0.3">
      <c r="A145" s="1"/>
      <c r="B145" s="1"/>
      <c r="L145" s="3"/>
      <c r="M145" s="1"/>
      <c r="N145" s="1"/>
    </row>
    <row r="146" spans="1:14" s="2" customFormat="1" ht="18.75" customHeight="1" x14ac:dyDescent="0.3">
      <c r="A146" s="1"/>
      <c r="B146" s="1"/>
      <c r="L146" s="3"/>
      <c r="M146" s="1"/>
      <c r="N146" s="1"/>
    </row>
    <row r="147" spans="1:14" s="2" customFormat="1" ht="18.75" customHeight="1" x14ac:dyDescent="0.3">
      <c r="A147" s="1"/>
      <c r="B147" s="1"/>
      <c r="L147" s="3"/>
      <c r="M147" s="1"/>
      <c r="N147" s="1"/>
    </row>
    <row r="148" spans="1:14" s="2" customFormat="1" ht="18.75" customHeight="1" x14ac:dyDescent="0.3">
      <c r="A148" s="1"/>
      <c r="B148" s="1"/>
      <c r="L148" s="3"/>
      <c r="M148" s="1"/>
      <c r="N148" s="1"/>
    </row>
    <row r="149" spans="1:14" s="2" customFormat="1" ht="18.75" customHeight="1" x14ac:dyDescent="0.3">
      <c r="A149" s="1"/>
      <c r="B149" s="1"/>
      <c r="L149" s="3"/>
      <c r="M149" s="1"/>
      <c r="N149" s="1"/>
    </row>
    <row r="150" spans="1:14" s="2" customFormat="1" ht="18.75" customHeight="1" x14ac:dyDescent="0.3">
      <c r="A150" s="1"/>
      <c r="B150" s="1"/>
      <c r="L150" s="3"/>
      <c r="M150" s="1"/>
      <c r="N150" s="1"/>
    </row>
    <row r="151" spans="1:14" s="2" customFormat="1" ht="18.75" customHeight="1" x14ac:dyDescent="0.3">
      <c r="A151" s="1"/>
      <c r="B151" s="1"/>
      <c r="L151" s="3"/>
      <c r="M151" s="1"/>
      <c r="N151" s="1"/>
    </row>
    <row r="152" spans="1:14" s="2" customFormat="1" ht="18.75" customHeight="1" x14ac:dyDescent="0.3">
      <c r="A152" s="1"/>
      <c r="B152" s="1"/>
      <c r="L152" s="3"/>
      <c r="M152" s="1"/>
      <c r="N152" s="1"/>
    </row>
    <row r="153" spans="1:14" s="2" customFormat="1" ht="18.75" customHeight="1" x14ac:dyDescent="0.3">
      <c r="A153" s="1"/>
      <c r="B153" s="1"/>
      <c r="L153" s="3"/>
      <c r="M153" s="1"/>
      <c r="N153" s="1"/>
    </row>
    <row r="154" spans="1:14" s="2" customFormat="1" ht="18.75" customHeight="1" x14ac:dyDescent="0.3">
      <c r="A154" s="1"/>
      <c r="B154" s="1"/>
      <c r="L154" s="3"/>
      <c r="M154" s="1"/>
      <c r="N154" s="1"/>
    </row>
    <row r="155" spans="1:14" s="2" customFormat="1" ht="18.75" customHeight="1" x14ac:dyDescent="0.3">
      <c r="A155" s="1"/>
      <c r="B155" s="1"/>
      <c r="L155" s="3"/>
      <c r="M155" s="1"/>
      <c r="N155" s="1"/>
    </row>
    <row r="156" spans="1:14" s="2" customFormat="1" ht="18.75" customHeight="1" x14ac:dyDescent="0.3">
      <c r="A156" s="1"/>
      <c r="B156" s="1"/>
      <c r="L156" s="3"/>
      <c r="M156" s="1"/>
      <c r="N156" s="1"/>
    </row>
    <row r="157" spans="1:14" s="2" customFormat="1" ht="18.75" customHeight="1" x14ac:dyDescent="0.3">
      <c r="A157" s="1"/>
      <c r="B157" s="1"/>
      <c r="L157" s="3"/>
      <c r="M157" s="1"/>
      <c r="N157" s="1"/>
    </row>
    <row r="158" spans="1:14" s="2" customFormat="1" ht="18.75" customHeight="1" x14ac:dyDescent="0.3">
      <c r="A158" s="1"/>
      <c r="B158" s="1"/>
      <c r="L158" s="3"/>
      <c r="M158" s="1"/>
      <c r="N158" s="1"/>
    </row>
    <row r="159" spans="1:14" s="2" customFormat="1" ht="18.75" customHeight="1" x14ac:dyDescent="0.3">
      <c r="A159" s="1"/>
      <c r="B159" s="1"/>
      <c r="L159" s="3"/>
      <c r="M159" s="1"/>
      <c r="N159" s="1"/>
    </row>
    <row r="160" spans="1:14" s="2" customFormat="1" ht="18.75" customHeight="1" x14ac:dyDescent="0.3">
      <c r="A160" s="1"/>
      <c r="B160" s="1"/>
      <c r="L160" s="3"/>
      <c r="M160" s="1"/>
      <c r="N160" s="1"/>
    </row>
    <row r="161" spans="1:14" s="2" customFormat="1" ht="18.75" customHeight="1" x14ac:dyDescent="0.3">
      <c r="A161" s="1"/>
      <c r="B161" s="1"/>
      <c r="L161" s="3"/>
      <c r="M161" s="1"/>
      <c r="N161" s="1"/>
    </row>
    <row r="162" spans="1:14" s="2" customFormat="1" ht="18.75" customHeight="1" x14ac:dyDescent="0.3">
      <c r="A162" s="1"/>
      <c r="B162" s="1"/>
      <c r="L162" s="3"/>
      <c r="M162" s="1"/>
      <c r="N162" s="1"/>
    </row>
    <row r="163" spans="1:14" s="2" customFormat="1" ht="18.75" customHeight="1" x14ac:dyDescent="0.3">
      <c r="A163" s="1"/>
      <c r="B163" s="1"/>
      <c r="L163" s="3"/>
      <c r="M163" s="1"/>
      <c r="N163" s="1"/>
    </row>
    <row r="164" spans="1:14" s="2" customFormat="1" ht="18.75" customHeight="1" x14ac:dyDescent="0.3">
      <c r="A164" s="1"/>
      <c r="B164" s="1"/>
      <c r="L164" s="3"/>
      <c r="M164" s="1"/>
      <c r="N164" s="1"/>
    </row>
    <row r="165" spans="1:14" s="2" customFormat="1" ht="18.75" customHeight="1" x14ac:dyDescent="0.3">
      <c r="A165" s="1"/>
      <c r="B165" s="1"/>
      <c r="L165" s="3"/>
      <c r="M165" s="1"/>
      <c r="N165" s="1"/>
    </row>
    <row r="166" spans="1:14" s="2" customFormat="1" ht="18.75" customHeight="1" x14ac:dyDescent="0.3">
      <c r="A166" s="1"/>
      <c r="B166" s="1"/>
      <c r="L166" s="3"/>
      <c r="M166" s="1"/>
      <c r="N166" s="1"/>
    </row>
    <row r="167" spans="1:14" s="2" customFormat="1" ht="18.75" customHeight="1" x14ac:dyDescent="0.3">
      <c r="A167" s="1"/>
      <c r="B167" s="1"/>
      <c r="L167" s="3"/>
      <c r="M167" s="1"/>
      <c r="N167" s="1"/>
    </row>
    <row r="168" spans="1:14" s="2" customFormat="1" ht="18.75" customHeight="1" x14ac:dyDescent="0.3">
      <c r="A168" s="1"/>
      <c r="B168" s="1"/>
      <c r="L168" s="3"/>
      <c r="M168" s="1"/>
      <c r="N168" s="1"/>
    </row>
    <row r="169" spans="1:14" s="2" customFormat="1" ht="18.75" customHeight="1" x14ac:dyDescent="0.3">
      <c r="A169" s="1"/>
      <c r="B169" s="1"/>
      <c r="L169" s="3"/>
      <c r="M169" s="1"/>
      <c r="N169" s="1"/>
    </row>
    <row r="170" spans="1:14" s="2" customFormat="1" ht="18.75" customHeight="1" x14ac:dyDescent="0.3">
      <c r="A170" s="1"/>
      <c r="B170" s="1"/>
      <c r="L170" s="3"/>
      <c r="M170" s="1"/>
      <c r="N170" s="1"/>
    </row>
    <row r="171" spans="1:14" s="2" customFormat="1" ht="18.75" customHeight="1" x14ac:dyDescent="0.3">
      <c r="A171" s="1"/>
      <c r="B171" s="1"/>
      <c r="L171" s="3"/>
      <c r="M171" s="1"/>
      <c r="N171" s="1"/>
    </row>
    <row r="172" spans="1:14" s="2" customFormat="1" ht="18.75" customHeight="1" x14ac:dyDescent="0.3">
      <c r="A172" s="1"/>
      <c r="B172" s="1"/>
      <c r="L172" s="3"/>
      <c r="M172" s="1"/>
      <c r="N172" s="1"/>
    </row>
    <row r="173" spans="1:14" s="2" customFormat="1" ht="18.75" customHeight="1" x14ac:dyDescent="0.3">
      <c r="A173" s="1"/>
      <c r="B173" s="1"/>
      <c r="L173" s="3"/>
      <c r="M173" s="1"/>
      <c r="N173" s="1"/>
    </row>
    <row r="174" spans="1:14" s="2" customFormat="1" ht="18.75" customHeight="1" x14ac:dyDescent="0.3">
      <c r="A174" s="1"/>
      <c r="B174" s="1"/>
      <c r="L174" s="3"/>
      <c r="M174" s="1"/>
      <c r="N174" s="1"/>
    </row>
    <row r="175" spans="1:14" s="2" customFormat="1" ht="18.75" customHeight="1" x14ac:dyDescent="0.3">
      <c r="A175" s="1"/>
      <c r="B175" s="1"/>
      <c r="L175" s="3"/>
      <c r="M175" s="1"/>
      <c r="N175" s="1"/>
    </row>
    <row r="176" spans="1:14" s="2" customFormat="1" ht="18.75" customHeight="1" x14ac:dyDescent="0.3">
      <c r="A176" s="1"/>
      <c r="B176" s="1"/>
      <c r="L176" s="3"/>
      <c r="M176" s="1"/>
      <c r="N176" s="1"/>
    </row>
    <row r="177" spans="1:14" s="2" customFormat="1" ht="18.75" customHeight="1" x14ac:dyDescent="0.3">
      <c r="A177" s="1"/>
      <c r="B177" s="1"/>
      <c r="L177" s="3"/>
      <c r="M177" s="1"/>
      <c r="N177" s="1"/>
    </row>
    <row r="178" spans="1:14" s="2" customFormat="1" ht="18.75" customHeight="1" x14ac:dyDescent="0.3">
      <c r="A178" s="1"/>
      <c r="B178" s="1"/>
      <c r="L178" s="3"/>
      <c r="M178" s="1"/>
      <c r="N178" s="1"/>
    </row>
    <row r="179" spans="1:14" s="2" customFormat="1" ht="18.75" customHeight="1" x14ac:dyDescent="0.3">
      <c r="A179" s="1"/>
      <c r="B179" s="1"/>
      <c r="L179" s="3"/>
      <c r="M179" s="1"/>
      <c r="N179" s="1"/>
    </row>
    <row r="180" spans="1:14" s="2" customFormat="1" ht="18.75" customHeight="1" x14ac:dyDescent="0.3">
      <c r="A180" s="1"/>
      <c r="B180" s="1"/>
      <c r="L180" s="3"/>
      <c r="M180" s="1"/>
      <c r="N180" s="1"/>
    </row>
    <row r="181" spans="1:14" s="2" customFormat="1" ht="18.75" customHeight="1" x14ac:dyDescent="0.3">
      <c r="A181" s="1"/>
      <c r="B181" s="1"/>
      <c r="L181" s="3"/>
      <c r="M181" s="1"/>
      <c r="N181" s="1"/>
    </row>
    <row r="182" spans="1:14" s="2" customFormat="1" ht="18.75" customHeight="1" x14ac:dyDescent="0.3">
      <c r="A182" s="1"/>
      <c r="B182" s="1"/>
      <c r="L182" s="3"/>
      <c r="M182" s="1"/>
      <c r="N182" s="1"/>
    </row>
    <row r="183" spans="1:14" s="2" customFormat="1" ht="18.75" customHeight="1" x14ac:dyDescent="0.3">
      <c r="A183" s="1"/>
      <c r="B183" s="1"/>
      <c r="L183" s="3"/>
      <c r="M183" s="1"/>
      <c r="N183" s="1"/>
    </row>
    <row r="184" spans="1:14" s="2" customFormat="1" ht="18.75" customHeight="1" x14ac:dyDescent="0.3">
      <c r="A184" s="1"/>
      <c r="B184" s="1"/>
      <c r="L184" s="3"/>
      <c r="M184" s="1"/>
      <c r="N184" s="1"/>
    </row>
    <row r="185" spans="1:14" s="2" customFormat="1" ht="18.75" customHeight="1" x14ac:dyDescent="0.3">
      <c r="A185" s="1"/>
      <c r="B185" s="1"/>
      <c r="L185" s="3"/>
      <c r="M185" s="1"/>
      <c r="N185" s="1"/>
    </row>
    <row r="186" spans="1:14" s="2" customFormat="1" ht="18.75" customHeight="1" x14ac:dyDescent="0.3">
      <c r="A186" s="1"/>
      <c r="B186" s="1"/>
      <c r="L186" s="3"/>
      <c r="M186" s="1"/>
      <c r="N186" s="1"/>
    </row>
    <row r="187" spans="1:14" s="2" customFormat="1" ht="18.75" customHeight="1" x14ac:dyDescent="0.3">
      <c r="A187" s="1"/>
      <c r="B187" s="1"/>
      <c r="L187" s="3"/>
      <c r="M187" s="1"/>
      <c r="N187" s="1"/>
    </row>
    <row r="188" spans="1:14" s="2" customFormat="1" ht="18.75" customHeight="1" x14ac:dyDescent="0.3">
      <c r="A188" s="1"/>
      <c r="B188" s="1"/>
      <c r="L188" s="3"/>
      <c r="M188" s="1"/>
      <c r="N188" s="1"/>
    </row>
    <row r="189" spans="1:14" s="2" customFormat="1" ht="18.75" customHeight="1" x14ac:dyDescent="0.3">
      <c r="A189" s="1"/>
      <c r="B189" s="1"/>
      <c r="L189" s="3"/>
      <c r="M189" s="1"/>
      <c r="N189" s="1"/>
    </row>
    <row r="190" spans="1:14" s="2" customFormat="1" ht="18.75" customHeight="1" x14ac:dyDescent="0.3">
      <c r="A190" s="1"/>
      <c r="B190" s="1"/>
      <c r="L190" s="3"/>
      <c r="M190" s="1"/>
      <c r="N190" s="1"/>
    </row>
    <row r="191" spans="1:14" s="2" customFormat="1" ht="18.75" customHeight="1" x14ac:dyDescent="0.3">
      <c r="A191" s="1"/>
      <c r="B191" s="1"/>
      <c r="L191" s="3"/>
      <c r="M191" s="1"/>
      <c r="N191" s="1"/>
    </row>
    <row r="192" spans="1:14" s="2" customFormat="1" ht="18.75" customHeight="1" x14ac:dyDescent="0.3">
      <c r="A192" s="1"/>
      <c r="B192" s="1"/>
      <c r="L192" s="3"/>
      <c r="M192" s="1"/>
      <c r="N192" s="1"/>
    </row>
    <row r="193" spans="1:14" s="2" customFormat="1" ht="18.75" customHeight="1" x14ac:dyDescent="0.3">
      <c r="A193" s="1"/>
      <c r="B193" s="1"/>
      <c r="L193" s="3"/>
      <c r="M193" s="1"/>
      <c r="N193" s="1"/>
    </row>
    <row r="194" spans="1:14" s="2" customFormat="1" ht="18.75" customHeight="1" x14ac:dyDescent="0.3">
      <c r="A194" s="1"/>
      <c r="B194" s="1"/>
      <c r="L194" s="3"/>
      <c r="M194" s="1"/>
      <c r="N194" s="1"/>
    </row>
    <row r="195" spans="1:14" s="2" customFormat="1" ht="18.75" customHeight="1" x14ac:dyDescent="0.3">
      <c r="A195" s="1"/>
      <c r="B195" s="1"/>
      <c r="L195" s="3"/>
      <c r="M195" s="1"/>
      <c r="N195" s="1"/>
    </row>
    <row r="196" spans="1:14" s="2" customFormat="1" ht="18.75" customHeight="1" x14ac:dyDescent="0.3">
      <c r="A196" s="1"/>
      <c r="B196" s="1"/>
      <c r="L196" s="3"/>
      <c r="M196" s="1"/>
      <c r="N196" s="1"/>
    </row>
    <row r="197" spans="1:14" s="2" customFormat="1" ht="18.75" customHeight="1" x14ac:dyDescent="0.3">
      <c r="A197" s="1"/>
      <c r="B197" s="1"/>
      <c r="L197" s="3"/>
      <c r="M197" s="1"/>
      <c r="N197" s="1"/>
    </row>
    <row r="198" spans="1:14" s="2" customFormat="1" ht="18.75" customHeight="1" x14ac:dyDescent="0.3">
      <c r="A198" s="1"/>
      <c r="B198" s="1"/>
      <c r="L198" s="3"/>
      <c r="M198" s="1"/>
      <c r="N198" s="1"/>
    </row>
    <row r="199" spans="1:14" s="2" customFormat="1" ht="18.75" customHeight="1" x14ac:dyDescent="0.3">
      <c r="A199" s="1"/>
      <c r="B199" s="1"/>
      <c r="L199" s="3"/>
      <c r="M199" s="1"/>
      <c r="N199" s="1"/>
    </row>
    <row r="200" spans="1:14" s="2" customFormat="1" ht="18.75" customHeight="1" x14ac:dyDescent="0.3">
      <c r="A200" s="1"/>
      <c r="B200" s="1"/>
      <c r="L200" s="3"/>
      <c r="M200" s="1"/>
      <c r="N200" s="1"/>
    </row>
    <row r="201" spans="1:14" s="2" customFormat="1" ht="18.75" customHeight="1" x14ac:dyDescent="0.3">
      <c r="A201" s="1"/>
      <c r="B201" s="1"/>
      <c r="L201" s="3"/>
      <c r="M201" s="1"/>
      <c r="N201" s="1"/>
    </row>
    <row r="202" spans="1:14" s="2" customFormat="1" ht="18.75" customHeight="1" x14ac:dyDescent="0.3">
      <c r="A202" s="1"/>
      <c r="B202" s="1"/>
      <c r="L202" s="3"/>
      <c r="M202" s="1"/>
      <c r="N202" s="1"/>
    </row>
    <row r="203" spans="1:14" s="2" customFormat="1" ht="18.75" customHeight="1" x14ac:dyDescent="0.3">
      <c r="A203" s="1"/>
      <c r="B203" s="1"/>
      <c r="L203" s="3"/>
      <c r="M203" s="1"/>
      <c r="N203" s="1"/>
    </row>
    <row r="204" spans="1:14" s="2" customFormat="1" ht="18.75" customHeight="1" x14ac:dyDescent="0.3">
      <c r="A204" s="1"/>
      <c r="B204" s="1"/>
      <c r="L204" s="3"/>
      <c r="M204" s="1"/>
      <c r="N204" s="1"/>
    </row>
    <row r="205" spans="1:14" s="2" customFormat="1" ht="18.75" customHeight="1" x14ac:dyDescent="0.3">
      <c r="A205" s="1"/>
      <c r="B205" s="1"/>
      <c r="L205" s="3"/>
      <c r="M205" s="1"/>
      <c r="N205" s="1"/>
    </row>
    <row r="206" spans="1:14" s="2" customFormat="1" ht="18.75" customHeight="1" x14ac:dyDescent="0.3">
      <c r="A206" s="1"/>
      <c r="B206" s="1"/>
      <c r="L206" s="3"/>
      <c r="M206" s="1"/>
      <c r="N206" s="1"/>
    </row>
    <row r="207" spans="1:14" s="2" customFormat="1" ht="18.75" customHeight="1" x14ac:dyDescent="0.3">
      <c r="A207" s="1"/>
      <c r="B207" s="1"/>
      <c r="L207" s="3"/>
      <c r="M207" s="1"/>
      <c r="N207" s="1"/>
    </row>
    <row r="208" spans="1:14" s="2" customFormat="1" ht="18.75" customHeight="1" x14ac:dyDescent="0.3">
      <c r="A208" s="1"/>
      <c r="B208" s="1"/>
      <c r="L208" s="3"/>
      <c r="M208" s="1"/>
      <c r="N208" s="1"/>
    </row>
    <row r="209" spans="1:14" s="2" customFormat="1" ht="18.75" customHeight="1" x14ac:dyDescent="0.3">
      <c r="A209" s="1"/>
      <c r="B209" s="1"/>
      <c r="L209" s="3"/>
      <c r="M209" s="1"/>
      <c r="N209" s="1"/>
    </row>
    <row r="210" spans="1:14" s="2" customFormat="1" ht="18.75" customHeight="1" x14ac:dyDescent="0.3">
      <c r="A210" s="1"/>
      <c r="B210" s="1"/>
      <c r="L210" s="3"/>
      <c r="M210" s="1"/>
      <c r="N210" s="1"/>
    </row>
    <row r="211" spans="1:14" s="2" customFormat="1" ht="18.75" customHeight="1" x14ac:dyDescent="0.3">
      <c r="A211" s="1"/>
      <c r="B211" s="1"/>
      <c r="L211" s="3"/>
      <c r="M211" s="1"/>
      <c r="N211" s="1"/>
    </row>
    <row r="212" spans="1:14" s="2" customFormat="1" ht="18.75" customHeight="1" x14ac:dyDescent="0.3">
      <c r="A212" s="1"/>
      <c r="B212" s="1"/>
      <c r="L212" s="3"/>
      <c r="M212" s="1"/>
      <c r="N212" s="1"/>
    </row>
    <row r="213" spans="1:14" s="2" customFormat="1" ht="18.75" customHeight="1" x14ac:dyDescent="0.3">
      <c r="A213" s="1"/>
      <c r="B213" s="1"/>
      <c r="L213" s="3"/>
      <c r="M213" s="1"/>
      <c r="N213" s="1"/>
    </row>
    <row r="214" spans="1:14" s="2" customFormat="1" ht="18.75" customHeight="1" x14ac:dyDescent="0.3">
      <c r="A214" s="1"/>
      <c r="B214" s="1"/>
      <c r="L214" s="3"/>
      <c r="M214" s="1"/>
      <c r="N214" s="1"/>
    </row>
    <row r="215" spans="1:14" s="2" customFormat="1" ht="18.75" customHeight="1" x14ac:dyDescent="0.3">
      <c r="A215" s="1"/>
      <c r="B215" s="1"/>
      <c r="L215" s="3"/>
      <c r="M215" s="1"/>
      <c r="N215" s="1"/>
    </row>
    <row r="216" spans="1:14" s="2" customFormat="1" ht="18.75" customHeight="1" x14ac:dyDescent="0.3">
      <c r="A216" s="1"/>
      <c r="B216" s="1"/>
      <c r="L216" s="3"/>
      <c r="M216" s="1"/>
      <c r="N216" s="1"/>
    </row>
    <row r="217" spans="1:14" s="2" customFormat="1" ht="18.75" customHeight="1" x14ac:dyDescent="0.3">
      <c r="A217" s="1"/>
      <c r="B217" s="1"/>
      <c r="L217" s="3"/>
      <c r="M217" s="1"/>
      <c r="N217" s="1"/>
    </row>
    <row r="218" spans="1:14" s="2" customFormat="1" ht="18.75" customHeight="1" x14ac:dyDescent="0.3">
      <c r="A218" s="1"/>
      <c r="B218" s="1"/>
      <c r="L218" s="3"/>
      <c r="M218" s="1"/>
      <c r="N218" s="1"/>
    </row>
    <row r="219" spans="1:14" s="2" customFormat="1" ht="18.75" customHeight="1" x14ac:dyDescent="0.3">
      <c r="A219" s="1"/>
      <c r="B219" s="1"/>
      <c r="L219" s="3"/>
      <c r="M219" s="1"/>
      <c r="N219" s="1"/>
    </row>
    <row r="220" spans="1:14" s="2" customFormat="1" ht="18.75" customHeight="1" x14ac:dyDescent="0.3">
      <c r="A220" s="1"/>
      <c r="B220" s="1"/>
      <c r="L220" s="3"/>
      <c r="M220" s="1"/>
      <c r="N220" s="1"/>
    </row>
    <row r="221" spans="1:14" s="2" customFormat="1" ht="18.75" customHeight="1" x14ac:dyDescent="0.3">
      <c r="A221" s="1"/>
      <c r="B221" s="1"/>
      <c r="L221" s="3"/>
      <c r="M221" s="1"/>
      <c r="N221" s="1"/>
    </row>
    <row r="222" spans="1:14" s="2" customFormat="1" ht="18.75" customHeight="1" x14ac:dyDescent="0.3">
      <c r="A222" s="1"/>
      <c r="B222" s="1"/>
      <c r="L222" s="3"/>
      <c r="M222" s="1"/>
      <c r="N222" s="1"/>
    </row>
    <row r="223" spans="1:14" s="2" customFormat="1" ht="18.75" customHeight="1" x14ac:dyDescent="0.3">
      <c r="A223" s="1"/>
      <c r="B223" s="1"/>
      <c r="L223" s="3"/>
      <c r="M223" s="1"/>
      <c r="N223" s="1"/>
    </row>
    <row r="224" spans="1:14" s="2" customFormat="1" ht="18.75" customHeight="1" x14ac:dyDescent="0.3">
      <c r="A224" s="1"/>
      <c r="B224" s="1"/>
      <c r="L224" s="3"/>
      <c r="M224" s="1"/>
      <c r="N224" s="1"/>
    </row>
    <row r="225" spans="1:14" s="2" customFormat="1" ht="18.75" customHeight="1" x14ac:dyDescent="0.3">
      <c r="A225" s="1"/>
      <c r="B225" s="1"/>
      <c r="L225" s="3"/>
      <c r="M225" s="1"/>
      <c r="N225" s="1"/>
    </row>
    <row r="226" spans="1:14" s="2" customFormat="1" ht="18.75" customHeight="1" x14ac:dyDescent="0.3">
      <c r="A226" s="1"/>
      <c r="B226" s="1"/>
      <c r="L226" s="3"/>
      <c r="M226" s="1"/>
      <c r="N226" s="1"/>
    </row>
    <row r="227" spans="1:14" s="2" customFormat="1" ht="18.75" customHeight="1" x14ac:dyDescent="0.3">
      <c r="A227" s="1"/>
      <c r="B227" s="1"/>
      <c r="L227" s="3"/>
      <c r="M227" s="1"/>
      <c r="N227" s="1"/>
    </row>
    <row r="228" spans="1:14" s="2" customFormat="1" ht="18.75" customHeight="1" x14ac:dyDescent="0.3">
      <c r="A228" s="1"/>
      <c r="B228" s="1"/>
      <c r="L228" s="3"/>
      <c r="M228" s="1"/>
      <c r="N228" s="1"/>
    </row>
    <row r="229" spans="1:14" s="2" customFormat="1" ht="18.75" customHeight="1" x14ac:dyDescent="0.3">
      <c r="A229" s="1"/>
      <c r="B229" s="1"/>
      <c r="L229" s="3"/>
      <c r="M229" s="1"/>
      <c r="N229" s="1"/>
    </row>
    <row r="230" spans="1:14" s="2" customFormat="1" ht="18.75" customHeight="1" x14ac:dyDescent="0.3">
      <c r="A230" s="1"/>
      <c r="B230" s="1"/>
      <c r="L230" s="3"/>
      <c r="M230" s="1"/>
      <c r="N230" s="1"/>
    </row>
    <row r="231" spans="1:14" s="2" customFormat="1" ht="18.75" customHeight="1" x14ac:dyDescent="0.3">
      <c r="A231" s="1"/>
      <c r="B231" s="1"/>
      <c r="L231" s="3"/>
      <c r="M231" s="1"/>
      <c r="N231" s="1"/>
    </row>
    <row r="232" spans="1:14" s="2" customFormat="1" ht="18.75" customHeight="1" x14ac:dyDescent="0.3">
      <c r="A232" s="1"/>
      <c r="B232" s="1"/>
      <c r="L232" s="3"/>
      <c r="M232" s="1"/>
      <c r="N232" s="1"/>
    </row>
    <row r="233" spans="1:14" s="2" customFormat="1" ht="18.75" customHeight="1" x14ac:dyDescent="0.3">
      <c r="A233" s="1"/>
      <c r="B233" s="1"/>
      <c r="L233" s="3"/>
      <c r="M233" s="1"/>
      <c r="N233" s="1"/>
    </row>
    <row r="234" spans="1:14" s="2" customFormat="1" ht="18.75" customHeight="1" x14ac:dyDescent="0.3">
      <c r="A234" s="1"/>
      <c r="B234" s="1"/>
      <c r="L234" s="3"/>
      <c r="M234" s="1"/>
      <c r="N234" s="1"/>
    </row>
    <row r="235" spans="1:14" s="2" customFormat="1" ht="18.75" customHeight="1" x14ac:dyDescent="0.3">
      <c r="A235" s="1"/>
      <c r="B235" s="1"/>
      <c r="L235" s="3"/>
      <c r="M235" s="1"/>
      <c r="N235" s="1"/>
    </row>
    <row r="236" spans="1:14" s="2" customFormat="1" ht="18.75" customHeight="1" x14ac:dyDescent="0.3">
      <c r="A236" s="1"/>
      <c r="B236" s="1"/>
      <c r="L236" s="3"/>
      <c r="M236" s="1"/>
      <c r="N236" s="1"/>
    </row>
    <row r="237" spans="1:14" s="2" customFormat="1" ht="18.75" customHeight="1" x14ac:dyDescent="0.3">
      <c r="A237" s="1"/>
      <c r="B237" s="1"/>
      <c r="L237" s="3"/>
      <c r="M237" s="1"/>
      <c r="N237" s="1"/>
    </row>
    <row r="238" spans="1:14" s="2" customFormat="1" ht="18.75" customHeight="1" x14ac:dyDescent="0.3">
      <c r="A238" s="1"/>
      <c r="B238" s="1"/>
      <c r="L238" s="3"/>
      <c r="M238" s="1"/>
      <c r="N238" s="1"/>
    </row>
    <row r="239" spans="1:14" s="2" customFormat="1" ht="18.75" customHeight="1" x14ac:dyDescent="0.3">
      <c r="A239" s="1"/>
      <c r="B239" s="1"/>
      <c r="L239" s="3"/>
      <c r="M239" s="1"/>
      <c r="N239" s="1"/>
    </row>
    <row r="240" spans="1:14" s="2" customFormat="1" ht="18.75" customHeight="1" x14ac:dyDescent="0.3">
      <c r="A240" s="1"/>
      <c r="B240" s="1"/>
      <c r="L240" s="3"/>
      <c r="M240" s="1"/>
      <c r="N240" s="1"/>
    </row>
    <row r="241" spans="1:14" s="2" customFormat="1" ht="18.75" customHeight="1" x14ac:dyDescent="0.3">
      <c r="A241" s="1"/>
      <c r="B241" s="1"/>
      <c r="L241" s="3"/>
      <c r="M241" s="1"/>
      <c r="N241" s="1"/>
    </row>
    <row r="242" spans="1:14" s="2" customFormat="1" ht="18.75" customHeight="1" x14ac:dyDescent="0.3">
      <c r="A242" s="1"/>
      <c r="B242" s="1"/>
      <c r="L242" s="3"/>
      <c r="M242" s="1"/>
      <c r="N242" s="1"/>
    </row>
    <row r="243" spans="1:14" s="2" customFormat="1" ht="18.75" customHeight="1" x14ac:dyDescent="0.3">
      <c r="A243" s="1"/>
      <c r="B243" s="1"/>
      <c r="L243" s="3"/>
      <c r="M243" s="1"/>
      <c r="N243" s="1"/>
    </row>
    <row r="244" spans="1:14" s="2" customFormat="1" ht="18.75" customHeight="1" x14ac:dyDescent="0.3">
      <c r="A244" s="1"/>
      <c r="B244" s="1"/>
      <c r="L244" s="3"/>
      <c r="M244" s="1"/>
      <c r="N244" s="1"/>
    </row>
    <row r="245" spans="1:14" s="2" customFormat="1" ht="18.75" customHeight="1" x14ac:dyDescent="0.3">
      <c r="A245" s="1"/>
      <c r="B245" s="1"/>
      <c r="L245" s="3"/>
      <c r="M245" s="1"/>
      <c r="N245" s="1"/>
    </row>
    <row r="246" spans="1:14" s="2" customFormat="1" ht="18.75" customHeight="1" x14ac:dyDescent="0.3">
      <c r="A246" s="1"/>
      <c r="B246" s="1"/>
      <c r="L246" s="3"/>
      <c r="M246" s="1"/>
      <c r="N246" s="1"/>
    </row>
    <row r="247" spans="1:14" s="2" customFormat="1" ht="18.75" customHeight="1" x14ac:dyDescent="0.3">
      <c r="A247" s="1"/>
      <c r="B247" s="1"/>
      <c r="L247" s="3"/>
      <c r="M247" s="1"/>
      <c r="N247" s="1"/>
    </row>
    <row r="248" spans="1:14" s="2" customFormat="1" ht="18.75" customHeight="1" x14ac:dyDescent="0.3">
      <c r="A248" s="1"/>
      <c r="B248" s="1"/>
      <c r="L248" s="3"/>
      <c r="M248" s="1"/>
      <c r="N248" s="1"/>
    </row>
    <row r="249" spans="1:14" s="2" customFormat="1" ht="18.75" customHeight="1" x14ac:dyDescent="0.3">
      <c r="A249" s="1"/>
      <c r="B249" s="1"/>
      <c r="L249" s="3"/>
      <c r="M249" s="1"/>
      <c r="N249" s="1"/>
    </row>
    <row r="250" spans="1:14" s="2" customFormat="1" ht="18.75" customHeight="1" x14ac:dyDescent="0.3">
      <c r="A250" s="1"/>
      <c r="B250" s="1"/>
      <c r="L250" s="3"/>
      <c r="M250" s="1"/>
      <c r="N250" s="1"/>
    </row>
    <row r="251" spans="1:14" s="2" customFormat="1" ht="18.75" customHeight="1" x14ac:dyDescent="0.3">
      <c r="A251" s="1"/>
      <c r="B251" s="1"/>
      <c r="L251" s="3"/>
      <c r="M251" s="1"/>
      <c r="N251" s="1"/>
    </row>
    <row r="252" spans="1:14" s="2" customFormat="1" ht="18.75" customHeight="1" x14ac:dyDescent="0.3">
      <c r="A252" s="1"/>
      <c r="B252" s="1"/>
      <c r="L252" s="3"/>
      <c r="M252" s="1"/>
      <c r="N252" s="1"/>
    </row>
    <row r="253" spans="1:14" s="2" customFormat="1" ht="18.75" customHeight="1" x14ac:dyDescent="0.3">
      <c r="A253" s="1"/>
      <c r="B253" s="1"/>
      <c r="L253" s="3"/>
      <c r="M253" s="1"/>
      <c r="N253" s="1"/>
    </row>
    <row r="254" spans="1:14" s="2" customFormat="1" ht="18.75" customHeight="1" x14ac:dyDescent="0.3">
      <c r="A254" s="1"/>
      <c r="B254" s="1"/>
      <c r="L254" s="3"/>
      <c r="M254" s="1"/>
      <c r="N254" s="1"/>
    </row>
    <row r="255" spans="1:14" s="2" customFormat="1" ht="18.75" customHeight="1" x14ac:dyDescent="0.3">
      <c r="A255" s="1"/>
      <c r="B255" s="1"/>
      <c r="L255" s="3"/>
      <c r="M255" s="1"/>
      <c r="N255" s="1"/>
    </row>
    <row r="256" spans="1:14" s="2" customFormat="1" ht="18.75" customHeight="1" x14ac:dyDescent="0.3">
      <c r="A256" s="1"/>
      <c r="B256" s="1"/>
      <c r="L256" s="3"/>
      <c r="M256" s="1"/>
      <c r="N256" s="1"/>
    </row>
    <row r="257" spans="1:14" s="2" customFormat="1" ht="18.75" customHeight="1" x14ac:dyDescent="0.3">
      <c r="A257" s="1"/>
      <c r="B257" s="1"/>
      <c r="L257" s="3"/>
      <c r="M257" s="1"/>
      <c r="N257" s="1"/>
    </row>
    <row r="258" spans="1:14" s="2" customFormat="1" ht="18.75" customHeight="1" x14ac:dyDescent="0.3">
      <c r="A258" s="1"/>
      <c r="B258" s="1"/>
      <c r="L258" s="3"/>
      <c r="M258" s="1"/>
      <c r="N258" s="1"/>
    </row>
    <row r="259" spans="1:14" s="2" customFormat="1" ht="18.75" customHeight="1" x14ac:dyDescent="0.3">
      <c r="A259" s="1"/>
      <c r="B259" s="1"/>
      <c r="L259" s="3"/>
      <c r="M259" s="1"/>
      <c r="N259" s="1"/>
    </row>
    <row r="260" spans="1:14" s="2" customFormat="1" ht="18.75" customHeight="1" x14ac:dyDescent="0.3">
      <c r="A260" s="1"/>
      <c r="B260" s="1"/>
      <c r="L260" s="3"/>
      <c r="M260" s="1"/>
      <c r="N260" s="1"/>
    </row>
    <row r="261" spans="1:14" s="2" customFormat="1" ht="18.75" customHeight="1" x14ac:dyDescent="0.3">
      <c r="A261" s="1"/>
      <c r="B261" s="1"/>
      <c r="L261" s="3"/>
      <c r="M261" s="1"/>
      <c r="N261" s="1"/>
    </row>
    <row r="262" spans="1:14" s="2" customFormat="1" ht="18.75" customHeight="1" x14ac:dyDescent="0.3">
      <c r="A262" s="1"/>
      <c r="B262" s="1"/>
      <c r="L262" s="3"/>
      <c r="M262" s="1"/>
      <c r="N262" s="1"/>
    </row>
    <row r="263" spans="1:14" s="2" customFormat="1" ht="18.75" customHeight="1" x14ac:dyDescent="0.3">
      <c r="A263" s="1"/>
      <c r="B263" s="1"/>
      <c r="L263" s="3"/>
      <c r="M263" s="1"/>
      <c r="N263" s="1"/>
    </row>
    <row r="264" spans="1:14" s="2" customFormat="1" ht="18.75" customHeight="1" x14ac:dyDescent="0.3">
      <c r="A264" s="1"/>
      <c r="B264" s="1"/>
      <c r="L264" s="3"/>
      <c r="M264" s="1"/>
      <c r="N264" s="1"/>
    </row>
    <row r="265" spans="1:14" s="2" customFormat="1" ht="18.75" customHeight="1" x14ac:dyDescent="0.3">
      <c r="A265" s="1"/>
      <c r="B265" s="1"/>
      <c r="L265" s="3"/>
      <c r="M265" s="1"/>
      <c r="N265" s="1"/>
    </row>
    <row r="266" spans="1:14" s="2" customFormat="1" ht="18.75" customHeight="1" x14ac:dyDescent="0.3">
      <c r="A266" s="1"/>
      <c r="B266" s="1"/>
      <c r="L266" s="3"/>
      <c r="M266" s="1"/>
      <c r="N266" s="1"/>
    </row>
    <row r="267" spans="1:14" s="2" customFormat="1" ht="18.75" customHeight="1" x14ac:dyDescent="0.3">
      <c r="A267" s="1"/>
      <c r="B267" s="1"/>
      <c r="L267" s="3"/>
      <c r="M267" s="1"/>
      <c r="N267" s="1"/>
    </row>
    <row r="268" spans="1:14" s="2" customFormat="1" ht="18.75" customHeight="1" x14ac:dyDescent="0.3">
      <c r="A268" s="1"/>
      <c r="B268" s="1"/>
      <c r="L268" s="3"/>
      <c r="M268" s="1"/>
      <c r="N268" s="1"/>
    </row>
    <row r="269" spans="1:14" s="2" customFormat="1" ht="18.75" customHeight="1" x14ac:dyDescent="0.3">
      <c r="A269" s="1"/>
      <c r="B269" s="1"/>
      <c r="L269" s="3"/>
      <c r="M269" s="1"/>
      <c r="N269" s="1"/>
    </row>
    <row r="270" spans="1:14" s="2" customFormat="1" ht="18.75" customHeight="1" x14ac:dyDescent="0.3">
      <c r="A270" s="1"/>
      <c r="B270" s="1"/>
      <c r="L270" s="3"/>
      <c r="M270" s="1"/>
      <c r="N270" s="1"/>
    </row>
    <row r="271" spans="1:14" s="2" customFormat="1" ht="18.75" customHeight="1" x14ac:dyDescent="0.3">
      <c r="A271" s="1"/>
      <c r="B271" s="1"/>
      <c r="L271" s="3"/>
      <c r="M271" s="1"/>
      <c r="N271" s="1"/>
    </row>
    <row r="272" spans="1:14" s="2" customFormat="1" ht="18.75" customHeight="1" x14ac:dyDescent="0.3">
      <c r="A272" s="1"/>
      <c r="B272" s="1"/>
      <c r="L272" s="3"/>
      <c r="M272" s="1"/>
      <c r="N272" s="1"/>
    </row>
    <row r="273" spans="1:14" s="2" customFormat="1" ht="18.75" customHeight="1" x14ac:dyDescent="0.3">
      <c r="A273" s="1"/>
      <c r="B273" s="1"/>
      <c r="L273" s="3"/>
      <c r="M273" s="1"/>
      <c r="N273" s="1"/>
    </row>
    <row r="274" spans="1:14" s="2" customFormat="1" ht="18.75" customHeight="1" x14ac:dyDescent="0.3">
      <c r="A274" s="1"/>
      <c r="B274" s="1"/>
      <c r="L274" s="3"/>
      <c r="M274" s="1"/>
      <c r="N274" s="1"/>
    </row>
    <row r="275" spans="1:14" s="2" customFormat="1" ht="18.75" customHeight="1" x14ac:dyDescent="0.3">
      <c r="A275" s="1"/>
      <c r="B275" s="1"/>
      <c r="L275" s="3"/>
      <c r="M275" s="1"/>
      <c r="N275" s="1"/>
    </row>
    <row r="276" spans="1:14" s="2" customFormat="1" ht="18.75" customHeight="1" x14ac:dyDescent="0.3">
      <c r="A276" s="1"/>
      <c r="B276" s="1"/>
      <c r="L276" s="3"/>
      <c r="M276" s="1"/>
      <c r="N276" s="1"/>
    </row>
    <row r="277" spans="1:14" s="2" customFormat="1" ht="18.75" customHeight="1" x14ac:dyDescent="0.3">
      <c r="A277" s="1"/>
      <c r="B277" s="1"/>
      <c r="L277" s="3"/>
      <c r="M277" s="1"/>
      <c r="N277" s="1"/>
    </row>
    <row r="278" spans="1:14" s="2" customFormat="1" ht="18.75" customHeight="1" x14ac:dyDescent="0.3">
      <c r="A278" s="1"/>
      <c r="B278" s="1"/>
      <c r="L278" s="3"/>
      <c r="M278" s="1"/>
      <c r="N278" s="1"/>
    </row>
    <row r="279" spans="1:14" s="2" customFormat="1" ht="18.75" customHeight="1" x14ac:dyDescent="0.3">
      <c r="A279" s="1"/>
      <c r="B279" s="1"/>
      <c r="L279" s="3"/>
      <c r="M279" s="1"/>
      <c r="N279" s="1"/>
    </row>
    <row r="280" spans="1:14" s="2" customFormat="1" ht="18.75" customHeight="1" x14ac:dyDescent="0.3">
      <c r="A280" s="1"/>
      <c r="B280" s="1"/>
      <c r="L280" s="3"/>
      <c r="M280" s="1"/>
      <c r="N280" s="1"/>
    </row>
    <row r="281" spans="1:14" s="2" customFormat="1" ht="18.75" customHeight="1" x14ac:dyDescent="0.3">
      <c r="A281" s="1"/>
      <c r="B281" s="1"/>
      <c r="L281" s="3"/>
      <c r="M281" s="1"/>
      <c r="N281" s="1"/>
    </row>
    <row r="282" spans="1:14" s="2" customFormat="1" ht="18.75" customHeight="1" x14ac:dyDescent="0.3">
      <c r="A282" s="1"/>
      <c r="B282" s="1"/>
      <c r="L282" s="3"/>
      <c r="M282" s="1"/>
      <c r="N282" s="1"/>
    </row>
    <row r="283" spans="1:14" s="2" customFormat="1" ht="18.75" customHeight="1" x14ac:dyDescent="0.3">
      <c r="A283" s="1"/>
      <c r="B283" s="1"/>
      <c r="L283" s="3"/>
      <c r="M283" s="1"/>
      <c r="N283" s="1"/>
    </row>
    <row r="284" spans="1:14" s="2" customFormat="1" ht="18.75" customHeight="1" x14ac:dyDescent="0.3">
      <c r="A284" s="1"/>
      <c r="B284" s="1"/>
      <c r="L284" s="3"/>
      <c r="M284" s="1"/>
      <c r="N284" s="1"/>
    </row>
    <row r="285" spans="1:14" s="2" customFormat="1" ht="18.75" customHeight="1" x14ac:dyDescent="0.3">
      <c r="A285" s="1"/>
      <c r="B285" s="1"/>
      <c r="L285" s="3"/>
      <c r="M285" s="1"/>
      <c r="N285" s="1"/>
    </row>
    <row r="286" spans="1:14" s="2" customFormat="1" ht="18.75" customHeight="1" x14ac:dyDescent="0.3">
      <c r="A286" s="1"/>
      <c r="B286" s="1"/>
      <c r="L286" s="3"/>
      <c r="M286" s="1"/>
      <c r="N286" s="1"/>
    </row>
    <row r="287" spans="1:14" s="2" customFormat="1" ht="18.75" customHeight="1" x14ac:dyDescent="0.3">
      <c r="A287" s="1"/>
      <c r="B287" s="1"/>
      <c r="L287" s="3"/>
      <c r="M287" s="1"/>
      <c r="N287" s="1"/>
    </row>
    <row r="288" spans="1:14" s="2" customFormat="1" ht="18.75" customHeight="1" x14ac:dyDescent="0.3">
      <c r="A288" s="1"/>
      <c r="B288" s="1"/>
      <c r="L288" s="3"/>
      <c r="M288" s="1"/>
      <c r="N288" s="1"/>
    </row>
    <row r="289" spans="1:14" s="2" customFormat="1" ht="18.75" customHeight="1" x14ac:dyDescent="0.3">
      <c r="A289" s="1"/>
      <c r="B289" s="1"/>
      <c r="L289" s="3"/>
      <c r="M289" s="1"/>
      <c r="N289" s="1"/>
    </row>
    <row r="290" spans="1:14" s="2" customFormat="1" ht="18.75" customHeight="1" x14ac:dyDescent="0.3">
      <c r="A290" s="1"/>
      <c r="B290" s="1"/>
      <c r="L290" s="3"/>
      <c r="M290" s="1"/>
      <c r="N290" s="1"/>
    </row>
    <row r="291" spans="1:14" s="2" customFormat="1" ht="18.75" customHeight="1" x14ac:dyDescent="0.3">
      <c r="A291" s="1"/>
      <c r="B291" s="1"/>
      <c r="L291" s="3"/>
      <c r="M291" s="1"/>
      <c r="N291" s="1"/>
    </row>
    <row r="292" spans="1:14" s="2" customFormat="1" ht="18.75" customHeight="1" x14ac:dyDescent="0.3">
      <c r="A292" s="1"/>
      <c r="B292" s="1"/>
      <c r="L292" s="3"/>
      <c r="M292" s="1"/>
      <c r="N292" s="1"/>
    </row>
    <row r="293" spans="1:14" s="2" customFormat="1" ht="18.75" customHeight="1" x14ac:dyDescent="0.3">
      <c r="A293" s="1"/>
      <c r="B293" s="1"/>
      <c r="L293" s="3"/>
      <c r="M293" s="1"/>
      <c r="N293" s="1"/>
    </row>
    <row r="294" spans="1:14" s="2" customFormat="1" ht="18.75" customHeight="1" x14ac:dyDescent="0.3">
      <c r="A294" s="1"/>
      <c r="B294" s="1"/>
      <c r="L294" s="3"/>
      <c r="M294" s="1"/>
      <c r="N294" s="1"/>
    </row>
    <row r="295" spans="1:14" s="2" customFormat="1" ht="18.75" customHeight="1" x14ac:dyDescent="0.3">
      <c r="A295" s="1"/>
      <c r="B295" s="1"/>
      <c r="L295" s="3"/>
      <c r="M295" s="1"/>
      <c r="N295" s="1"/>
    </row>
    <row r="296" spans="1:14" s="2" customFormat="1" ht="18.75" customHeight="1" x14ac:dyDescent="0.3">
      <c r="A296" s="1"/>
      <c r="B296" s="1"/>
      <c r="L296" s="3"/>
      <c r="M296" s="1"/>
      <c r="N296" s="1"/>
    </row>
    <row r="297" spans="1:14" s="2" customFormat="1" ht="18.75" customHeight="1" x14ac:dyDescent="0.3">
      <c r="A297" s="1"/>
      <c r="B297" s="1"/>
      <c r="L297" s="3"/>
      <c r="M297" s="1"/>
      <c r="N297" s="1"/>
    </row>
    <row r="298" spans="1:14" s="2" customFormat="1" ht="18.75" customHeight="1" x14ac:dyDescent="0.3">
      <c r="A298" s="1"/>
      <c r="B298" s="1"/>
      <c r="L298" s="3"/>
      <c r="M298" s="1"/>
      <c r="N298" s="1"/>
    </row>
    <row r="299" spans="1:14" s="2" customFormat="1" ht="18.75" customHeight="1" x14ac:dyDescent="0.3">
      <c r="A299" s="1"/>
      <c r="B299" s="1"/>
      <c r="L299" s="3"/>
      <c r="M299" s="1"/>
      <c r="N299" s="1"/>
    </row>
    <row r="300" spans="1:14" s="2" customFormat="1" ht="18.75" customHeight="1" x14ac:dyDescent="0.3">
      <c r="A300" s="1"/>
      <c r="B300" s="1"/>
      <c r="L300" s="3"/>
      <c r="M300" s="1"/>
      <c r="N300" s="1"/>
    </row>
    <row r="301" spans="1:14" s="2" customFormat="1" ht="18.75" customHeight="1" x14ac:dyDescent="0.3">
      <c r="A301" s="1"/>
      <c r="B301" s="1"/>
      <c r="L301" s="3"/>
      <c r="M301" s="1"/>
      <c r="N301" s="1"/>
    </row>
    <row r="302" spans="1:14" s="2" customFormat="1" ht="18.75" customHeight="1" x14ac:dyDescent="0.3">
      <c r="A302" s="1"/>
      <c r="B302" s="1"/>
      <c r="L302" s="3"/>
      <c r="M302" s="1"/>
      <c r="N302" s="1"/>
    </row>
    <row r="303" spans="1:14" s="2" customFormat="1" ht="18.75" customHeight="1" x14ac:dyDescent="0.3">
      <c r="A303" s="1"/>
      <c r="B303" s="1"/>
      <c r="L303" s="3"/>
      <c r="M303" s="1"/>
      <c r="N303" s="1"/>
    </row>
    <row r="304" spans="1:14" s="2" customFormat="1" ht="18.75" customHeight="1" x14ac:dyDescent="0.3">
      <c r="A304" s="1"/>
      <c r="B304" s="1"/>
      <c r="L304" s="3"/>
      <c r="M304" s="1"/>
      <c r="N304" s="1"/>
    </row>
    <row r="305" spans="1:14" s="2" customFormat="1" ht="18.75" customHeight="1" x14ac:dyDescent="0.3">
      <c r="A305" s="1"/>
      <c r="B305" s="1"/>
      <c r="L305" s="3"/>
      <c r="M305" s="1"/>
      <c r="N305" s="1"/>
    </row>
    <row r="306" spans="1:14" s="2" customFormat="1" ht="18.75" customHeight="1" x14ac:dyDescent="0.3">
      <c r="A306" s="1"/>
      <c r="B306" s="1"/>
      <c r="L306" s="3"/>
      <c r="M306" s="1"/>
      <c r="N306" s="1"/>
    </row>
    <row r="307" spans="1:14" s="2" customFormat="1" ht="18.75" customHeight="1" x14ac:dyDescent="0.3">
      <c r="A307" s="1"/>
      <c r="B307" s="1"/>
      <c r="L307" s="3"/>
      <c r="M307" s="1"/>
      <c r="N307" s="1"/>
    </row>
    <row r="308" spans="1:14" s="2" customFormat="1" ht="18.75" customHeight="1" x14ac:dyDescent="0.3">
      <c r="A308" s="1"/>
      <c r="B308" s="1"/>
      <c r="L308" s="3"/>
      <c r="M308" s="1"/>
      <c r="N308" s="1"/>
    </row>
    <row r="309" spans="1:14" s="2" customFormat="1" ht="18.75" customHeight="1" x14ac:dyDescent="0.3">
      <c r="A309" s="1"/>
      <c r="B309" s="1"/>
      <c r="L309" s="3"/>
      <c r="M309" s="1"/>
      <c r="N309" s="1"/>
    </row>
    <row r="310" spans="1:14" s="2" customFormat="1" ht="18.75" customHeight="1" x14ac:dyDescent="0.3">
      <c r="A310" s="1"/>
      <c r="B310" s="1"/>
      <c r="L310" s="3"/>
      <c r="M310" s="1"/>
      <c r="N310" s="1"/>
    </row>
    <row r="311" spans="1:14" s="2" customFormat="1" ht="18.75" customHeight="1" x14ac:dyDescent="0.3">
      <c r="A311" s="1"/>
      <c r="B311" s="1"/>
      <c r="L311" s="3"/>
      <c r="M311" s="1"/>
      <c r="N311" s="1"/>
    </row>
    <row r="312" spans="1:14" s="2" customFormat="1" ht="18.75" customHeight="1" x14ac:dyDescent="0.3">
      <c r="A312" s="1"/>
      <c r="B312" s="1"/>
      <c r="L312" s="3"/>
      <c r="M312" s="1"/>
      <c r="N312" s="1"/>
    </row>
    <row r="313" spans="1:14" s="2" customFormat="1" ht="18.75" customHeight="1" x14ac:dyDescent="0.3">
      <c r="A313" s="1"/>
      <c r="B313" s="1"/>
      <c r="L313" s="3"/>
      <c r="M313" s="1"/>
      <c r="N313" s="1"/>
    </row>
    <row r="314" spans="1:14" s="2" customFormat="1" ht="18.75" customHeight="1" x14ac:dyDescent="0.3">
      <c r="A314" s="1"/>
      <c r="B314" s="1"/>
      <c r="L314" s="3"/>
      <c r="M314" s="1"/>
      <c r="N314" s="1"/>
    </row>
    <row r="315" spans="1:14" s="2" customFormat="1" ht="18.75" customHeight="1" x14ac:dyDescent="0.3">
      <c r="A315" s="1"/>
      <c r="B315" s="1"/>
      <c r="L315" s="3"/>
      <c r="M315" s="1"/>
      <c r="N315" s="1"/>
    </row>
    <row r="316" spans="1:14" s="2" customFormat="1" ht="18.75" customHeight="1" x14ac:dyDescent="0.3">
      <c r="A316" s="1"/>
      <c r="B316" s="1"/>
      <c r="L316" s="3"/>
      <c r="M316" s="1"/>
      <c r="N316" s="1"/>
    </row>
    <row r="317" spans="1:14" s="2" customFormat="1" ht="18.75" customHeight="1" x14ac:dyDescent="0.3">
      <c r="A317" s="1"/>
      <c r="B317" s="1"/>
      <c r="L317" s="3"/>
      <c r="M317" s="1"/>
      <c r="N317" s="1"/>
    </row>
    <row r="318" spans="1:14" s="2" customFormat="1" ht="18.75" customHeight="1" x14ac:dyDescent="0.3">
      <c r="A318" s="1"/>
      <c r="B318" s="1"/>
      <c r="L318" s="3"/>
      <c r="M318" s="1"/>
      <c r="N318" s="1"/>
    </row>
    <row r="319" spans="1:14" s="2" customFormat="1" ht="18.75" customHeight="1" x14ac:dyDescent="0.3">
      <c r="A319" s="1"/>
      <c r="B319" s="1"/>
      <c r="L319" s="3"/>
      <c r="M319" s="1"/>
      <c r="N319" s="1"/>
    </row>
    <row r="320" spans="1:14" s="2" customFormat="1" ht="18.75" customHeight="1" x14ac:dyDescent="0.3">
      <c r="A320" s="1"/>
      <c r="B320" s="1"/>
      <c r="L320" s="3"/>
      <c r="M320" s="1"/>
      <c r="N320" s="1"/>
    </row>
    <row r="321" spans="1:14" s="2" customFormat="1" ht="18.75" customHeight="1" x14ac:dyDescent="0.3">
      <c r="A321" s="1"/>
      <c r="B321" s="1"/>
      <c r="L321" s="3"/>
      <c r="M321" s="1"/>
      <c r="N321" s="1"/>
    </row>
    <row r="322" spans="1:14" s="2" customFormat="1" ht="18.75" customHeight="1" x14ac:dyDescent="0.3">
      <c r="A322" s="1"/>
      <c r="B322" s="1"/>
      <c r="L322" s="3"/>
      <c r="M322" s="1"/>
      <c r="N322" s="1"/>
    </row>
    <row r="323" spans="1:14" s="2" customFormat="1" ht="18.75" customHeight="1" x14ac:dyDescent="0.3">
      <c r="A323" s="1"/>
      <c r="B323" s="1"/>
      <c r="L323" s="3"/>
      <c r="M323" s="1"/>
      <c r="N323" s="1"/>
    </row>
    <row r="324" spans="1:14" s="2" customFormat="1" ht="18.75" customHeight="1" x14ac:dyDescent="0.3">
      <c r="A324" s="1"/>
      <c r="B324" s="1"/>
      <c r="L324" s="3"/>
      <c r="M324" s="1"/>
      <c r="N324" s="1"/>
    </row>
    <row r="325" spans="1:14" s="2" customFormat="1" ht="18.75" customHeight="1" x14ac:dyDescent="0.3">
      <c r="A325" s="1"/>
      <c r="B325" s="1"/>
      <c r="L325" s="3"/>
      <c r="M325" s="1"/>
      <c r="N325" s="1"/>
    </row>
    <row r="326" spans="1:14" s="2" customFormat="1" ht="18.75" customHeight="1" x14ac:dyDescent="0.3">
      <c r="A326" s="1"/>
      <c r="B326" s="1"/>
      <c r="L326" s="3"/>
      <c r="M326" s="1"/>
      <c r="N326" s="1"/>
    </row>
    <row r="327" spans="1:14" s="2" customFormat="1" ht="18.75" customHeight="1" x14ac:dyDescent="0.3">
      <c r="A327" s="1"/>
      <c r="B327" s="1"/>
      <c r="L327" s="3"/>
      <c r="M327" s="1"/>
      <c r="N327" s="1"/>
    </row>
    <row r="328" spans="1:14" s="2" customFormat="1" ht="18.75" customHeight="1" x14ac:dyDescent="0.3">
      <c r="A328" s="1"/>
      <c r="B328" s="1"/>
      <c r="L328" s="3"/>
      <c r="M328" s="1"/>
      <c r="N328" s="1"/>
    </row>
    <row r="329" spans="1:14" s="2" customFormat="1" ht="18.75" customHeight="1" x14ac:dyDescent="0.3">
      <c r="A329" s="1"/>
      <c r="B329" s="1"/>
      <c r="L329" s="3"/>
      <c r="M329" s="1"/>
      <c r="N329" s="1"/>
    </row>
    <row r="330" spans="1:14" s="2" customFormat="1" ht="18.75" customHeight="1" x14ac:dyDescent="0.3">
      <c r="A330" s="1"/>
      <c r="B330" s="1"/>
      <c r="L330" s="3"/>
      <c r="M330" s="1"/>
      <c r="N330" s="1"/>
    </row>
    <row r="331" spans="1:14" s="2" customFormat="1" ht="18.75" customHeight="1" x14ac:dyDescent="0.3">
      <c r="A331" s="1"/>
      <c r="B331" s="1"/>
      <c r="L331" s="3"/>
      <c r="M331" s="1"/>
      <c r="N331" s="1"/>
    </row>
    <row r="332" spans="1:14" s="2" customFormat="1" ht="18.75" customHeight="1" x14ac:dyDescent="0.3">
      <c r="A332" s="1"/>
      <c r="B332" s="1"/>
      <c r="L332" s="3"/>
      <c r="M332" s="1"/>
      <c r="N332" s="1"/>
    </row>
    <row r="333" spans="1:14" s="2" customFormat="1" ht="18.75" customHeight="1" x14ac:dyDescent="0.3">
      <c r="A333" s="1"/>
      <c r="B333" s="1"/>
      <c r="L333" s="3"/>
      <c r="M333" s="1"/>
      <c r="N333" s="1"/>
    </row>
    <row r="334" spans="1:14" s="2" customFormat="1" ht="18.75" customHeight="1" x14ac:dyDescent="0.3">
      <c r="A334" s="1"/>
      <c r="B334" s="1"/>
      <c r="L334" s="3"/>
      <c r="M334" s="1"/>
      <c r="N334" s="1"/>
    </row>
    <row r="335" spans="1:14" s="2" customFormat="1" ht="18.75" customHeight="1" x14ac:dyDescent="0.3">
      <c r="A335" s="1"/>
      <c r="B335" s="1"/>
      <c r="L335" s="3"/>
      <c r="M335" s="1"/>
      <c r="N335" s="1"/>
    </row>
    <row r="336" spans="1:14" s="2" customFormat="1" ht="18.75" customHeight="1" x14ac:dyDescent="0.3">
      <c r="A336" s="1"/>
      <c r="B336" s="1"/>
      <c r="L336" s="3"/>
      <c r="M336" s="1"/>
      <c r="N336" s="1"/>
    </row>
    <row r="337" spans="1:14" s="2" customFormat="1" ht="18.75" customHeight="1" x14ac:dyDescent="0.3">
      <c r="A337" s="1"/>
      <c r="B337" s="1"/>
      <c r="L337" s="3"/>
      <c r="M337" s="1"/>
      <c r="N337" s="1"/>
    </row>
    <row r="338" spans="1:14" s="2" customFormat="1" ht="18.75" customHeight="1" x14ac:dyDescent="0.3">
      <c r="A338" s="1"/>
      <c r="B338" s="1"/>
      <c r="L338" s="3"/>
      <c r="M338" s="1"/>
      <c r="N338" s="1"/>
    </row>
    <row r="339" spans="1:14" s="2" customFormat="1" ht="18.75" customHeight="1" x14ac:dyDescent="0.3">
      <c r="A339" s="1"/>
      <c r="B339" s="1"/>
      <c r="L339" s="3"/>
      <c r="M339" s="1"/>
      <c r="N339" s="1"/>
    </row>
    <row r="340" spans="1:14" s="2" customFormat="1" ht="18.75" customHeight="1" x14ac:dyDescent="0.3">
      <c r="A340" s="1"/>
      <c r="B340" s="1"/>
      <c r="L340" s="3"/>
      <c r="M340" s="1"/>
      <c r="N340" s="1"/>
    </row>
    <row r="341" spans="1:14" s="2" customFormat="1" ht="18.75" customHeight="1" x14ac:dyDescent="0.3">
      <c r="A341" s="1"/>
      <c r="B341" s="1"/>
      <c r="L341" s="3"/>
      <c r="M341" s="1"/>
      <c r="N341" s="1"/>
    </row>
    <row r="342" spans="1:14" s="2" customFormat="1" ht="18.75" customHeight="1" x14ac:dyDescent="0.3">
      <c r="A342" s="1"/>
      <c r="B342" s="1"/>
      <c r="L342" s="3"/>
      <c r="M342" s="1"/>
      <c r="N342" s="1"/>
    </row>
    <row r="343" spans="1:14" s="2" customFormat="1" ht="18.75" customHeight="1" x14ac:dyDescent="0.3">
      <c r="A343" s="1"/>
      <c r="B343" s="1"/>
      <c r="L343" s="3"/>
      <c r="M343" s="1"/>
      <c r="N343" s="1"/>
    </row>
    <row r="344" spans="1:14" s="2" customFormat="1" ht="18.75" customHeight="1" x14ac:dyDescent="0.3">
      <c r="A344" s="1"/>
      <c r="B344" s="1"/>
      <c r="L344" s="3"/>
      <c r="M344" s="1"/>
      <c r="N344" s="1"/>
    </row>
    <row r="345" spans="1:14" s="2" customFormat="1" ht="18.75" customHeight="1" x14ac:dyDescent="0.3">
      <c r="A345" s="1"/>
      <c r="B345" s="1"/>
      <c r="L345" s="3"/>
      <c r="M345" s="1"/>
      <c r="N345" s="1"/>
    </row>
    <row r="346" spans="1:14" s="2" customFormat="1" ht="18.75" customHeight="1" x14ac:dyDescent="0.3">
      <c r="A346" s="1"/>
      <c r="B346" s="1"/>
      <c r="L346" s="3"/>
      <c r="M346" s="1"/>
      <c r="N346" s="1"/>
    </row>
    <row r="347" spans="1:14" s="2" customFormat="1" ht="18.75" customHeight="1" x14ac:dyDescent="0.3">
      <c r="A347" s="1"/>
      <c r="B347" s="1"/>
      <c r="L347" s="3"/>
      <c r="M347" s="1"/>
      <c r="N347" s="1"/>
    </row>
    <row r="348" spans="1:14" s="2" customFormat="1" ht="18.75" customHeight="1" x14ac:dyDescent="0.3">
      <c r="A348" s="1"/>
      <c r="B348" s="1"/>
      <c r="L348" s="3"/>
      <c r="M348" s="1"/>
      <c r="N348" s="1"/>
    </row>
    <row r="349" spans="1:14" s="2" customFormat="1" ht="18.75" customHeight="1" x14ac:dyDescent="0.3">
      <c r="A349" s="1"/>
      <c r="B349" s="1"/>
      <c r="L349" s="3"/>
      <c r="M349" s="1"/>
      <c r="N349" s="1"/>
    </row>
    <row r="350" spans="1:14" s="2" customFormat="1" ht="18.75" customHeight="1" x14ac:dyDescent="0.3">
      <c r="A350" s="1"/>
      <c r="B350" s="1"/>
      <c r="L350" s="3"/>
      <c r="M350" s="1"/>
      <c r="N350" s="1"/>
    </row>
    <row r="351" spans="1:14" s="2" customFormat="1" ht="18.75" customHeight="1" x14ac:dyDescent="0.3">
      <c r="A351" s="1"/>
      <c r="B351" s="1"/>
      <c r="L351" s="3"/>
      <c r="M351" s="1"/>
      <c r="N351" s="1"/>
    </row>
    <row r="352" spans="1:14" s="2" customFormat="1" ht="18.75" customHeight="1" x14ac:dyDescent="0.3">
      <c r="A352" s="1"/>
      <c r="B352" s="1"/>
      <c r="L352" s="3"/>
      <c r="M352" s="1"/>
      <c r="N352" s="1"/>
    </row>
    <row r="353" spans="1:14" s="2" customFormat="1" ht="18.75" customHeight="1" x14ac:dyDescent="0.3">
      <c r="A353" s="1"/>
      <c r="B353" s="1"/>
      <c r="L353" s="3"/>
      <c r="M353" s="1"/>
      <c r="N353" s="1"/>
    </row>
    <row r="354" spans="1:14" s="2" customFormat="1" ht="18.75" customHeight="1" x14ac:dyDescent="0.3">
      <c r="A354" s="1"/>
      <c r="B354" s="1"/>
      <c r="L354" s="3"/>
      <c r="M354" s="1"/>
      <c r="N354" s="1"/>
    </row>
    <row r="355" spans="1:14" s="2" customFormat="1" ht="18.75" customHeight="1" x14ac:dyDescent="0.3">
      <c r="A355" s="1"/>
      <c r="B355" s="1"/>
      <c r="L355" s="3"/>
      <c r="M355" s="1"/>
      <c r="N355" s="1"/>
    </row>
    <row r="356" spans="1:14" s="2" customFormat="1" ht="18.75" customHeight="1" x14ac:dyDescent="0.3">
      <c r="A356" s="1"/>
      <c r="B356" s="1"/>
      <c r="L356" s="3"/>
      <c r="M356" s="1"/>
      <c r="N356" s="1"/>
    </row>
    <row r="357" spans="1:14" s="2" customFormat="1" ht="18.75" customHeight="1" x14ac:dyDescent="0.3">
      <c r="A357" s="1"/>
      <c r="B357" s="1"/>
      <c r="L357" s="3"/>
      <c r="M357" s="1"/>
      <c r="N357" s="1"/>
    </row>
    <row r="358" spans="1:14" s="2" customFormat="1" ht="18.75" customHeight="1" x14ac:dyDescent="0.3">
      <c r="A358" s="1"/>
      <c r="B358" s="1"/>
      <c r="L358" s="3"/>
      <c r="M358" s="1"/>
      <c r="N358" s="1"/>
    </row>
    <row r="359" spans="1:14" s="2" customFormat="1" ht="18.75" customHeight="1" x14ac:dyDescent="0.3">
      <c r="A359" s="1"/>
      <c r="B359" s="1"/>
      <c r="L359" s="3"/>
      <c r="M359" s="1"/>
      <c r="N359" s="1"/>
    </row>
    <row r="360" spans="1:14" s="2" customFormat="1" ht="18.75" customHeight="1" x14ac:dyDescent="0.3">
      <c r="A360" s="1"/>
      <c r="B360" s="1"/>
      <c r="L360" s="3"/>
      <c r="M360" s="1"/>
      <c r="N360" s="1"/>
    </row>
    <row r="361" spans="1:14" s="2" customFormat="1" ht="18.75" customHeight="1" x14ac:dyDescent="0.3">
      <c r="A361" s="1"/>
      <c r="B361" s="1"/>
      <c r="L361" s="3"/>
      <c r="M361" s="1"/>
      <c r="N361" s="1"/>
    </row>
    <row r="362" spans="1:14" s="2" customFormat="1" ht="18.75" customHeight="1" x14ac:dyDescent="0.3">
      <c r="A362" s="1"/>
      <c r="B362" s="1"/>
      <c r="L362" s="3"/>
      <c r="M362" s="1"/>
      <c r="N362" s="1"/>
    </row>
    <row r="363" spans="1:14" s="2" customFormat="1" ht="18.75" customHeight="1" x14ac:dyDescent="0.3">
      <c r="A363" s="1"/>
      <c r="B363" s="1"/>
      <c r="L363" s="3"/>
      <c r="M363" s="1"/>
      <c r="N363" s="1"/>
    </row>
    <row r="364" spans="1:14" s="2" customFormat="1" ht="18.75" customHeight="1" x14ac:dyDescent="0.3">
      <c r="A364" s="1"/>
      <c r="B364" s="1"/>
      <c r="L364" s="3"/>
      <c r="M364" s="1"/>
      <c r="N364" s="1"/>
    </row>
    <row r="365" spans="1:14" s="2" customFormat="1" ht="18.75" customHeight="1" x14ac:dyDescent="0.3">
      <c r="A365" s="1"/>
      <c r="B365" s="1"/>
      <c r="L365" s="3"/>
      <c r="M365" s="1"/>
      <c r="N365" s="1"/>
    </row>
    <row r="366" spans="1:14" s="2" customFormat="1" ht="18.75" customHeight="1" x14ac:dyDescent="0.3">
      <c r="A366" s="1"/>
      <c r="B366" s="1"/>
      <c r="L366" s="3"/>
      <c r="M366" s="1"/>
      <c r="N366" s="1"/>
    </row>
    <row r="367" spans="1:14" s="2" customFormat="1" ht="18.75" customHeight="1" x14ac:dyDescent="0.3">
      <c r="A367" s="1"/>
      <c r="B367" s="1"/>
      <c r="L367" s="3"/>
      <c r="M367" s="1"/>
      <c r="N367" s="1"/>
    </row>
    <row r="368" spans="1:14" s="2" customFormat="1" ht="18.75" customHeight="1" x14ac:dyDescent="0.3">
      <c r="A368" s="1"/>
      <c r="B368" s="1"/>
      <c r="L368" s="3"/>
      <c r="M368" s="1"/>
      <c r="N368" s="1"/>
    </row>
    <row r="369" spans="1:14" s="2" customFormat="1" ht="18.75" customHeight="1" x14ac:dyDescent="0.3">
      <c r="A369" s="1"/>
      <c r="B369" s="1"/>
      <c r="L369" s="3"/>
      <c r="M369" s="1"/>
      <c r="N369" s="1"/>
    </row>
    <row r="370" spans="1:14" s="2" customFormat="1" ht="18.75" customHeight="1" x14ac:dyDescent="0.3">
      <c r="A370" s="1"/>
      <c r="B370" s="1"/>
      <c r="L370" s="3"/>
      <c r="M370" s="1"/>
      <c r="N370" s="1"/>
    </row>
    <row r="371" spans="1:14" s="2" customFormat="1" ht="18.75" customHeight="1" x14ac:dyDescent="0.3">
      <c r="A371" s="1"/>
      <c r="B371" s="1"/>
      <c r="L371" s="3"/>
      <c r="M371" s="1"/>
      <c r="N371" s="1"/>
    </row>
    <row r="372" spans="1:14" s="2" customFormat="1" ht="18.75" customHeight="1" x14ac:dyDescent="0.3">
      <c r="A372" s="1"/>
      <c r="B372" s="1"/>
      <c r="L372" s="3"/>
      <c r="M372" s="1"/>
      <c r="N372" s="1"/>
    </row>
    <row r="373" spans="1:14" s="2" customFormat="1" ht="18.75" customHeight="1" x14ac:dyDescent="0.3">
      <c r="A373" s="1"/>
      <c r="B373" s="1"/>
      <c r="L373" s="3"/>
      <c r="M373" s="1"/>
      <c r="N373" s="1"/>
    </row>
    <row r="374" spans="1:14" s="2" customFormat="1" ht="18.75" customHeight="1" x14ac:dyDescent="0.3">
      <c r="A374" s="1"/>
      <c r="B374" s="1"/>
      <c r="L374" s="3"/>
      <c r="M374" s="1"/>
      <c r="N374" s="1"/>
    </row>
    <row r="375" spans="1:14" s="2" customFormat="1" ht="18.75" customHeight="1" x14ac:dyDescent="0.3">
      <c r="A375" s="1"/>
      <c r="B375" s="1"/>
      <c r="L375" s="3"/>
      <c r="M375" s="1"/>
      <c r="N375" s="1"/>
    </row>
    <row r="376" spans="1:14" s="2" customFormat="1" ht="18.75" customHeight="1" x14ac:dyDescent="0.3">
      <c r="A376" s="1"/>
      <c r="B376" s="1"/>
      <c r="L376" s="3"/>
      <c r="M376" s="1"/>
      <c r="N376" s="1"/>
    </row>
    <row r="377" spans="1:14" s="2" customFormat="1" ht="18.75" customHeight="1" x14ac:dyDescent="0.3">
      <c r="A377" s="1"/>
      <c r="B377" s="1"/>
      <c r="L377" s="3"/>
      <c r="M377" s="1"/>
      <c r="N377" s="1"/>
    </row>
    <row r="378" spans="1:14" s="2" customFormat="1" ht="18.75" customHeight="1" x14ac:dyDescent="0.3">
      <c r="A378" s="1"/>
      <c r="B378" s="1"/>
      <c r="L378" s="3"/>
      <c r="M378" s="1"/>
      <c r="N378" s="1"/>
    </row>
    <row r="379" spans="1:14" s="2" customFormat="1" ht="18.75" customHeight="1" x14ac:dyDescent="0.3">
      <c r="A379" s="1"/>
      <c r="B379" s="1"/>
      <c r="L379" s="3"/>
      <c r="M379" s="1"/>
      <c r="N379" s="1"/>
    </row>
    <row r="380" spans="1:14" s="2" customFormat="1" ht="18.75" customHeight="1" x14ac:dyDescent="0.3">
      <c r="A380" s="1"/>
      <c r="B380" s="1"/>
      <c r="L380" s="3"/>
      <c r="M380" s="1"/>
      <c r="N380" s="1"/>
    </row>
    <row r="381" spans="1:14" s="2" customFormat="1" ht="18.75" customHeight="1" x14ac:dyDescent="0.3">
      <c r="A381" s="1"/>
      <c r="B381" s="1"/>
      <c r="L381" s="3"/>
      <c r="M381" s="1"/>
      <c r="N381" s="1"/>
    </row>
    <row r="382" spans="1:14" s="2" customFormat="1" ht="18.75" customHeight="1" x14ac:dyDescent="0.3">
      <c r="A382" s="1"/>
      <c r="B382" s="1"/>
      <c r="L382" s="3"/>
      <c r="M382" s="1"/>
      <c r="N382" s="1"/>
    </row>
    <row r="383" spans="1:14" s="2" customFormat="1" ht="18.75" customHeight="1" x14ac:dyDescent="0.3">
      <c r="A383" s="1"/>
      <c r="B383" s="1"/>
      <c r="L383" s="3"/>
      <c r="M383" s="1"/>
      <c r="N383" s="1"/>
    </row>
    <row r="384" spans="1:14" s="2" customFormat="1" ht="18.75" customHeight="1" x14ac:dyDescent="0.3">
      <c r="A384" s="1"/>
      <c r="B384" s="1"/>
      <c r="L384" s="3"/>
      <c r="M384" s="1"/>
      <c r="N384" s="1"/>
    </row>
    <row r="385" spans="1:14" s="2" customFormat="1" ht="18.75" customHeight="1" x14ac:dyDescent="0.3">
      <c r="A385" s="1"/>
      <c r="B385" s="1"/>
      <c r="L385" s="3"/>
      <c r="M385" s="1"/>
      <c r="N385" s="1"/>
    </row>
    <row r="386" spans="1:14" s="2" customFormat="1" ht="18.75" customHeight="1" x14ac:dyDescent="0.3">
      <c r="A386" s="1"/>
      <c r="B386" s="1"/>
      <c r="L386" s="3"/>
      <c r="M386" s="1"/>
      <c r="N386" s="1"/>
    </row>
    <row r="387" spans="1:14" s="2" customFormat="1" ht="18.75" customHeight="1" x14ac:dyDescent="0.3">
      <c r="A387" s="1"/>
      <c r="B387" s="1"/>
      <c r="L387" s="3"/>
      <c r="M387" s="1"/>
      <c r="N387" s="1"/>
    </row>
    <row r="388" spans="1:14" s="2" customFormat="1" ht="18.75" customHeight="1" x14ac:dyDescent="0.3">
      <c r="A388" s="1"/>
      <c r="B388" s="1"/>
      <c r="L388" s="3"/>
      <c r="M388" s="1"/>
      <c r="N388" s="1"/>
    </row>
    <row r="389" spans="1:14" s="2" customFormat="1" ht="18.75" customHeight="1" x14ac:dyDescent="0.3">
      <c r="A389" s="1"/>
      <c r="B389" s="1"/>
      <c r="L389" s="3"/>
      <c r="M389" s="1"/>
      <c r="N389" s="1"/>
    </row>
    <row r="390" spans="1:14" s="2" customFormat="1" ht="18.75" customHeight="1" x14ac:dyDescent="0.3">
      <c r="A390" s="1"/>
      <c r="B390" s="1"/>
      <c r="L390" s="3"/>
      <c r="M390" s="1"/>
      <c r="N390" s="1"/>
    </row>
    <row r="391" spans="1:14" s="2" customFormat="1" ht="18.75" customHeight="1" x14ac:dyDescent="0.3">
      <c r="A391" s="1"/>
      <c r="B391" s="1"/>
      <c r="L391" s="3"/>
      <c r="M391" s="1"/>
      <c r="N391" s="1"/>
    </row>
    <row r="392" spans="1:14" s="2" customFormat="1" ht="18.75" customHeight="1" x14ac:dyDescent="0.3">
      <c r="A392" s="1"/>
      <c r="B392" s="1"/>
      <c r="L392" s="3"/>
      <c r="M392" s="1"/>
      <c r="N392" s="1"/>
    </row>
    <row r="393" spans="1:14" s="2" customFormat="1" ht="18.75" customHeight="1" x14ac:dyDescent="0.3">
      <c r="A393" s="1"/>
      <c r="B393" s="1"/>
      <c r="L393" s="3"/>
      <c r="M393" s="1"/>
      <c r="N393" s="1"/>
    </row>
    <row r="394" spans="1:14" s="2" customFormat="1" ht="18.75" customHeight="1" x14ac:dyDescent="0.3">
      <c r="A394" s="1"/>
      <c r="B394" s="1"/>
      <c r="L394" s="3"/>
      <c r="M394" s="1"/>
      <c r="N394" s="1"/>
    </row>
    <row r="395" spans="1:14" s="2" customFormat="1" ht="18.75" customHeight="1" x14ac:dyDescent="0.3">
      <c r="A395" s="1"/>
      <c r="B395" s="1"/>
      <c r="L395" s="3"/>
      <c r="M395" s="1"/>
      <c r="N395" s="1"/>
    </row>
    <row r="396" spans="1:14" s="2" customFormat="1" ht="18.75" customHeight="1" x14ac:dyDescent="0.3">
      <c r="A396" s="1"/>
      <c r="B396" s="1"/>
      <c r="L396" s="3"/>
      <c r="M396" s="1"/>
      <c r="N396" s="1"/>
    </row>
    <row r="397" spans="1:14" s="2" customFormat="1" ht="18.75" customHeight="1" x14ac:dyDescent="0.3">
      <c r="A397" s="1"/>
      <c r="B397" s="1"/>
      <c r="L397" s="3"/>
      <c r="M397" s="1"/>
      <c r="N397" s="1"/>
    </row>
    <row r="398" spans="1:14" s="2" customFormat="1" ht="18.75" customHeight="1" x14ac:dyDescent="0.3">
      <c r="A398" s="1"/>
      <c r="B398" s="1"/>
      <c r="L398" s="3"/>
      <c r="M398" s="1"/>
      <c r="N398" s="1"/>
    </row>
    <row r="399" spans="1:14" s="2" customFormat="1" ht="18.75" customHeight="1" x14ac:dyDescent="0.3">
      <c r="A399" s="1"/>
      <c r="B399" s="1"/>
      <c r="L399" s="3"/>
      <c r="M399" s="1"/>
      <c r="N399" s="1"/>
    </row>
    <row r="400" spans="1:14" s="2" customFormat="1" ht="18.75" customHeight="1" x14ac:dyDescent="0.3">
      <c r="A400" s="1"/>
      <c r="B400" s="1"/>
      <c r="L400" s="3"/>
      <c r="M400" s="1"/>
      <c r="N400" s="1"/>
    </row>
    <row r="401" spans="1:14" s="2" customFormat="1" ht="18.75" customHeight="1" x14ac:dyDescent="0.3">
      <c r="A401" s="1"/>
      <c r="B401" s="1"/>
      <c r="L401" s="3"/>
      <c r="M401" s="1"/>
      <c r="N401" s="1"/>
    </row>
    <row r="402" spans="1:14" s="2" customFormat="1" ht="18.75" customHeight="1" x14ac:dyDescent="0.3">
      <c r="A402" s="1"/>
      <c r="B402" s="1"/>
      <c r="L402" s="3"/>
      <c r="M402" s="1"/>
      <c r="N402" s="1"/>
    </row>
    <row r="403" spans="1:14" s="2" customFormat="1" ht="18.75" customHeight="1" x14ac:dyDescent="0.3">
      <c r="A403" s="1"/>
      <c r="B403" s="1"/>
      <c r="L403" s="3"/>
      <c r="M403" s="1"/>
      <c r="N403" s="1"/>
    </row>
    <row r="404" spans="1:14" s="2" customFormat="1" ht="18.75" customHeight="1" x14ac:dyDescent="0.3">
      <c r="A404" s="1"/>
      <c r="B404" s="1"/>
      <c r="L404" s="3"/>
      <c r="M404" s="1"/>
      <c r="N404" s="1"/>
    </row>
    <row r="405" spans="1:14" s="2" customFormat="1" ht="18.75" customHeight="1" x14ac:dyDescent="0.3">
      <c r="A405" s="1"/>
      <c r="B405" s="1"/>
      <c r="L405" s="3"/>
      <c r="M405" s="1"/>
      <c r="N405" s="1"/>
    </row>
    <row r="406" spans="1:14" s="2" customFormat="1" ht="18.75" customHeight="1" x14ac:dyDescent="0.3">
      <c r="A406" s="1"/>
      <c r="B406" s="1"/>
      <c r="L406" s="3"/>
      <c r="M406" s="1"/>
      <c r="N406" s="1"/>
    </row>
    <row r="407" spans="1:14" s="2" customFormat="1" ht="18.75" customHeight="1" x14ac:dyDescent="0.3">
      <c r="A407" s="1"/>
      <c r="B407" s="1"/>
      <c r="L407" s="3"/>
      <c r="M407" s="1"/>
      <c r="N407" s="1"/>
    </row>
    <row r="408" spans="1:14" s="2" customFormat="1" ht="18.75" customHeight="1" x14ac:dyDescent="0.3">
      <c r="A408" s="1"/>
      <c r="B408" s="1"/>
      <c r="L408" s="3"/>
      <c r="M408" s="1"/>
      <c r="N408" s="1"/>
    </row>
    <row r="409" spans="1:14" s="2" customFormat="1" ht="18.75" customHeight="1" x14ac:dyDescent="0.3">
      <c r="A409" s="1"/>
      <c r="B409" s="1"/>
      <c r="L409" s="3"/>
      <c r="M409" s="1"/>
      <c r="N409" s="1"/>
    </row>
    <row r="410" spans="1:14" s="2" customFormat="1" ht="18.75" customHeight="1" x14ac:dyDescent="0.3">
      <c r="A410" s="1"/>
      <c r="B410" s="1"/>
      <c r="L410" s="3"/>
      <c r="M410" s="1"/>
      <c r="N410" s="1"/>
    </row>
    <row r="411" spans="1:14" s="2" customFormat="1" ht="18.75" customHeight="1" x14ac:dyDescent="0.3">
      <c r="A411" s="1"/>
      <c r="B411" s="1"/>
      <c r="L411" s="3"/>
      <c r="M411" s="1"/>
      <c r="N411" s="1"/>
    </row>
    <row r="412" spans="1:14" s="2" customFormat="1" ht="18.75" customHeight="1" x14ac:dyDescent="0.3">
      <c r="A412" s="1"/>
      <c r="B412" s="1"/>
      <c r="L412" s="3"/>
      <c r="M412" s="1"/>
      <c r="N412" s="1"/>
    </row>
    <row r="413" spans="1:14" s="2" customFormat="1" ht="18.75" customHeight="1" x14ac:dyDescent="0.3">
      <c r="A413" s="1"/>
      <c r="B413" s="1"/>
      <c r="L413" s="3"/>
      <c r="M413" s="1"/>
      <c r="N413" s="1"/>
    </row>
    <row r="414" spans="1:14" s="2" customFormat="1" ht="18.75" customHeight="1" x14ac:dyDescent="0.3">
      <c r="A414" s="1"/>
      <c r="B414" s="1"/>
      <c r="L414" s="3"/>
      <c r="M414" s="1"/>
      <c r="N414" s="1"/>
    </row>
    <row r="415" spans="1:14" s="2" customFormat="1" ht="18.75" customHeight="1" x14ac:dyDescent="0.3">
      <c r="A415" s="1"/>
      <c r="B415" s="1"/>
      <c r="L415" s="3"/>
      <c r="M415" s="1"/>
      <c r="N415" s="1"/>
    </row>
    <row r="416" spans="1:14" s="2" customFormat="1" ht="18.75" customHeight="1" x14ac:dyDescent="0.3">
      <c r="A416" s="1"/>
      <c r="B416" s="1"/>
      <c r="L416" s="3"/>
      <c r="M416" s="1"/>
      <c r="N416" s="1"/>
    </row>
    <row r="417" spans="1:14" s="2" customFormat="1" ht="18.75" customHeight="1" x14ac:dyDescent="0.3">
      <c r="A417" s="1"/>
      <c r="B417" s="1"/>
      <c r="L417" s="3"/>
      <c r="M417" s="1"/>
      <c r="N417" s="1"/>
    </row>
    <row r="418" spans="1:14" s="2" customFormat="1" ht="18.75" customHeight="1" x14ac:dyDescent="0.3">
      <c r="A418" s="1"/>
      <c r="B418" s="1"/>
      <c r="L418" s="3"/>
      <c r="M418" s="1"/>
      <c r="N418" s="1"/>
    </row>
    <row r="419" spans="1:14" s="2" customFormat="1" ht="18.75" customHeight="1" x14ac:dyDescent="0.3">
      <c r="A419" s="1"/>
      <c r="B419" s="1"/>
      <c r="L419" s="3"/>
      <c r="M419" s="1"/>
      <c r="N419" s="1"/>
    </row>
    <row r="420" spans="1:14" s="2" customFormat="1" ht="18.75" customHeight="1" x14ac:dyDescent="0.3">
      <c r="A420" s="1"/>
      <c r="B420" s="1"/>
      <c r="L420" s="3"/>
      <c r="M420" s="1"/>
      <c r="N420" s="1"/>
    </row>
    <row r="421" spans="1:14" s="2" customFormat="1" ht="18.75" customHeight="1" x14ac:dyDescent="0.3">
      <c r="A421" s="1"/>
      <c r="B421" s="1"/>
      <c r="L421" s="3"/>
      <c r="M421" s="1"/>
      <c r="N421" s="1"/>
    </row>
    <row r="422" spans="1:14" s="2" customFormat="1" ht="18.75" customHeight="1" x14ac:dyDescent="0.3">
      <c r="A422" s="1"/>
      <c r="B422" s="1"/>
      <c r="L422" s="3"/>
      <c r="M422" s="1"/>
      <c r="N422" s="1"/>
    </row>
    <row r="423" spans="1:14" s="2" customFormat="1" ht="18.75" customHeight="1" x14ac:dyDescent="0.3">
      <c r="A423" s="1"/>
      <c r="B423" s="1"/>
      <c r="L423" s="3"/>
      <c r="M423" s="1"/>
      <c r="N423" s="1"/>
    </row>
    <row r="424" spans="1:14" s="2" customFormat="1" ht="18.75" customHeight="1" x14ac:dyDescent="0.3">
      <c r="A424" s="1"/>
      <c r="B424" s="1"/>
      <c r="L424" s="3"/>
      <c r="M424" s="1"/>
      <c r="N424" s="1"/>
    </row>
    <row r="425" spans="1:14" s="2" customFormat="1" ht="18.75" customHeight="1" x14ac:dyDescent="0.3">
      <c r="A425" s="1"/>
      <c r="B425" s="1"/>
      <c r="L425" s="3"/>
      <c r="M425" s="1"/>
      <c r="N425" s="1"/>
    </row>
    <row r="426" spans="1:14" s="2" customFormat="1" ht="18.75" customHeight="1" x14ac:dyDescent="0.3">
      <c r="A426" s="1"/>
      <c r="B426" s="1"/>
      <c r="L426" s="3"/>
      <c r="M426" s="1"/>
      <c r="N426" s="1"/>
    </row>
    <row r="427" spans="1:14" s="2" customFormat="1" ht="18.75" customHeight="1" x14ac:dyDescent="0.3">
      <c r="A427" s="1"/>
      <c r="B427" s="1"/>
      <c r="L427" s="3"/>
      <c r="M427" s="1"/>
      <c r="N427" s="1"/>
    </row>
    <row r="428" spans="1:14" s="2" customFormat="1" ht="18.75" customHeight="1" x14ac:dyDescent="0.3">
      <c r="A428" s="1"/>
      <c r="B428" s="1"/>
      <c r="L428" s="3"/>
      <c r="M428" s="1"/>
      <c r="N428" s="1"/>
    </row>
    <row r="429" spans="1:14" s="2" customFormat="1" ht="18.75" customHeight="1" x14ac:dyDescent="0.3">
      <c r="A429" s="1"/>
      <c r="B429" s="1"/>
      <c r="L429" s="3"/>
      <c r="M429" s="1"/>
      <c r="N429" s="1"/>
    </row>
    <row r="430" spans="1:14" s="2" customFormat="1" ht="18.75" customHeight="1" x14ac:dyDescent="0.3">
      <c r="A430" s="1"/>
      <c r="B430" s="1"/>
      <c r="L430" s="3"/>
      <c r="M430" s="1"/>
      <c r="N430" s="1"/>
    </row>
    <row r="431" spans="1:14" s="2" customFormat="1" ht="18.75" customHeight="1" x14ac:dyDescent="0.3">
      <c r="A431" s="1"/>
      <c r="B431" s="1"/>
      <c r="L431" s="3"/>
      <c r="M431" s="1"/>
      <c r="N431" s="1"/>
    </row>
    <row r="432" spans="1:14" s="2" customFormat="1" ht="18.75" customHeight="1" x14ac:dyDescent="0.3">
      <c r="A432" s="1"/>
      <c r="B432" s="1"/>
      <c r="L432" s="3"/>
      <c r="M432" s="1"/>
      <c r="N432" s="1"/>
    </row>
    <row r="433" spans="1:14" s="2" customFormat="1" ht="18.75" customHeight="1" x14ac:dyDescent="0.3">
      <c r="A433" s="1"/>
      <c r="B433" s="1"/>
      <c r="L433" s="3"/>
      <c r="M433" s="1"/>
      <c r="N433" s="1"/>
    </row>
    <row r="434" spans="1:14" s="2" customFormat="1" ht="18.75" customHeight="1" x14ac:dyDescent="0.3">
      <c r="A434" s="1"/>
      <c r="B434" s="1"/>
      <c r="L434" s="3"/>
      <c r="M434" s="1"/>
      <c r="N434" s="1"/>
    </row>
    <row r="435" spans="1:14" s="2" customFormat="1" ht="18.75" customHeight="1" x14ac:dyDescent="0.3">
      <c r="A435" s="1"/>
      <c r="B435" s="1"/>
      <c r="L435" s="3"/>
      <c r="M435" s="1"/>
      <c r="N435" s="1"/>
    </row>
    <row r="436" spans="1:14" s="2" customFormat="1" ht="18.75" customHeight="1" x14ac:dyDescent="0.3">
      <c r="A436" s="1"/>
      <c r="B436" s="1"/>
      <c r="L436" s="3"/>
      <c r="M436" s="1"/>
      <c r="N436" s="1"/>
    </row>
    <row r="437" spans="1:14" s="2" customFormat="1" ht="18.75" customHeight="1" x14ac:dyDescent="0.3">
      <c r="A437" s="1"/>
      <c r="B437" s="1"/>
      <c r="L437" s="3"/>
      <c r="M437" s="1"/>
      <c r="N437" s="1"/>
    </row>
    <row r="438" spans="1:14" s="2" customFormat="1" ht="18.75" customHeight="1" x14ac:dyDescent="0.3">
      <c r="A438" s="1"/>
      <c r="B438" s="1"/>
      <c r="L438" s="3"/>
      <c r="M438" s="1"/>
      <c r="N438" s="1"/>
    </row>
    <row r="439" spans="1:14" s="2" customFormat="1" ht="18.75" customHeight="1" x14ac:dyDescent="0.3">
      <c r="A439" s="1"/>
      <c r="B439" s="1"/>
      <c r="L439" s="3"/>
      <c r="M439" s="1"/>
      <c r="N439" s="1"/>
    </row>
    <row r="440" spans="1:14" s="2" customFormat="1" ht="18.75" customHeight="1" x14ac:dyDescent="0.3">
      <c r="A440" s="1"/>
      <c r="B440" s="1"/>
      <c r="L440" s="3"/>
      <c r="M440" s="1"/>
      <c r="N440" s="1"/>
    </row>
    <row r="441" spans="1:14" s="2" customFormat="1" ht="18.75" customHeight="1" x14ac:dyDescent="0.3">
      <c r="A441" s="1"/>
      <c r="B441" s="1"/>
      <c r="L441" s="3"/>
      <c r="M441" s="1"/>
      <c r="N441" s="1"/>
    </row>
    <row r="442" spans="1:14" s="2" customFormat="1" ht="18.75" customHeight="1" x14ac:dyDescent="0.3">
      <c r="A442" s="1"/>
      <c r="B442" s="1"/>
      <c r="L442" s="3"/>
      <c r="M442" s="1"/>
      <c r="N442" s="1"/>
    </row>
    <row r="443" spans="1:14" s="2" customFormat="1" ht="18.75" customHeight="1" x14ac:dyDescent="0.3">
      <c r="A443" s="1"/>
      <c r="B443" s="1"/>
      <c r="L443" s="3"/>
      <c r="M443" s="1"/>
      <c r="N443" s="1"/>
    </row>
    <row r="444" spans="1:14" s="2" customFormat="1" ht="18.75" customHeight="1" x14ac:dyDescent="0.3">
      <c r="A444" s="1"/>
      <c r="B444" s="1"/>
      <c r="L444" s="3"/>
      <c r="M444" s="1"/>
      <c r="N444" s="1"/>
    </row>
    <row r="445" spans="1:14" s="2" customFormat="1" ht="18.75" customHeight="1" x14ac:dyDescent="0.3">
      <c r="A445" s="1"/>
      <c r="B445" s="1"/>
      <c r="L445" s="3"/>
      <c r="M445" s="1"/>
      <c r="N445" s="1"/>
    </row>
    <row r="446" spans="1:14" s="2" customFormat="1" ht="18.75" customHeight="1" x14ac:dyDescent="0.3">
      <c r="A446" s="1"/>
      <c r="B446" s="1"/>
      <c r="L446" s="3"/>
      <c r="M446" s="1"/>
      <c r="N446" s="1"/>
    </row>
    <row r="447" spans="1:14" s="2" customFormat="1" ht="18.75" customHeight="1" x14ac:dyDescent="0.3">
      <c r="A447" s="1"/>
      <c r="B447" s="1"/>
      <c r="L447" s="3"/>
      <c r="M447" s="1"/>
      <c r="N447" s="1"/>
    </row>
    <row r="448" spans="1:14" s="2" customFormat="1" ht="18.75" customHeight="1" x14ac:dyDescent="0.3">
      <c r="A448" s="1"/>
      <c r="B448" s="1"/>
      <c r="L448" s="3"/>
      <c r="M448" s="1"/>
      <c r="N448" s="1"/>
    </row>
    <row r="449" spans="1:14" s="2" customFormat="1" ht="18.75" customHeight="1" x14ac:dyDescent="0.3">
      <c r="A449" s="1"/>
      <c r="B449" s="1"/>
      <c r="L449" s="3"/>
      <c r="M449" s="1"/>
      <c r="N449" s="1"/>
    </row>
    <row r="450" spans="1:14" s="2" customFormat="1" ht="18.75" customHeight="1" x14ac:dyDescent="0.3">
      <c r="A450" s="1"/>
      <c r="B450" s="1"/>
      <c r="L450" s="3"/>
      <c r="M450" s="1"/>
      <c r="N450" s="1"/>
    </row>
    <row r="451" spans="1:14" s="2" customFormat="1" ht="18.75" customHeight="1" x14ac:dyDescent="0.3">
      <c r="A451" s="1"/>
      <c r="B451" s="1"/>
      <c r="L451" s="3"/>
      <c r="M451" s="1"/>
      <c r="N451" s="1"/>
    </row>
    <row r="452" spans="1:14" s="2" customFormat="1" ht="18.75" customHeight="1" x14ac:dyDescent="0.3">
      <c r="A452" s="1"/>
      <c r="B452" s="1"/>
      <c r="L452" s="3"/>
      <c r="M452" s="1"/>
      <c r="N452" s="1"/>
    </row>
    <row r="453" spans="1:14" s="2" customFormat="1" ht="18.75" customHeight="1" x14ac:dyDescent="0.3">
      <c r="A453" s="1"/>
      <c r="B453" s="1"/>
      <c r="L453" s="3"/>
      <c r="M453" s="1"/>
      <c r="N453" s="1"/>
    </row>
    <row r="454" spans="1:14" s="2" customFormat="1" ht="18.75" customHeight="1" x14ac:dyDescent="0.3">
      <c r="A454" s="1"/>
      <c r="B454" s="1"/>
      <c r="L454" s="3"/>
      <c r="M454" s="1"/>
      <c r="N454" s="1"/>
    </row>
    <row r="455" spans="1:14" s="2" customFormat="1" ht="18.75" customHeight="1" x14ac:dyDescent="0.3">
      <c r="A455" s="1"/>
      <c r="B455" s="1"/>
      <c r="L455" s="3"/>
      <c r="M455" s="1"/>
      <c r="N455" s="1"/>
    </row>
    <row r="456" spans="1:14" s="2" customFormat="1" ht="18.75" customHeight="1" x14ac:dyDescent="0.3">
      <c r="A456" s="1"/>
      <c r="B456" s="1"/>
      <c r="L456" s="3"/>
      <c r="M456" s="1"/>
      <c r="N456" s="1"/>
    </row>
    <row r="457" spans="1:14" s="2" customFormat="1" ht="18.75" customHeight="1" x14ac:dyDescent="0.3">
      <c r="A457" s="1"/>
      <c r="B457" s="1"/>
      <c r="L457" s="3"/>
      <c r="M457" s="1"/>
      <c r="N457" s="1"/>
    </row>
    <row r="458" spans="1:14" s="2" customFormat="1" ht="18.75" customHeight="1" x14ac:dyDescent="0.3">
      <c r="A458" s="1"/>
      <c r="B458" s="1"/>
      <c r="L458" s="3"/>
      <c r="M458" s="1"/>
      <c r="N458" s="1"/>
    </row>
    <row r="459" spans="1:14" s="2" customFormat="1" ht="18.75" customHeight="1" x14ac:dyDescent="0.3">
      <c r="A459" s="1"/>
      <c r="B459" s="1"/>
      <c r="L459" s="3"/>
      <c r="M459" s="1"/>
      <c r="N459" s="1"/>
    </row>
    <row r="460" spans="1:14" s="2" customFormat="1" ht="18.75" customHeight="1" x14ac:dyDescent="0.3">
      <c r="A460" s="1"/>
      <c r="B460" s="1"/>
      <c r="L460" s="3"/>
      <c r="M460" s="1"/>
      <c r="N460" s="1"/>
    </row>
    <row r="461" spans="1:14" s="2" customFormat="1" ht="18.75" customHeight="1" x14ac:dyDescent="0.3">
      <c r="A461" s="1"/>
      <c r="B461" s="1"/>
      <c r="L461" s="3"/>
      <c r="M461" s="1"/>
      <c r="N461" s="1"/>
    </row>
    <row r="462" spans="1:14" s="2" customFormat="1" ht="18.75" customHeight="1" x14ac:dyDescent="0.3">
      <c r="A462" s="1"/>
      <c r="B462" s="1"/>
      <c r="L462" s="3"/>
      <c r="M462" s="1"/>
      <c r="N462" s="1"/>
    </row>
    <row r="463" spans="1:14" s="2" customFormat="1" ht="18.75" customHeight="1" x14ac:dyDescent="0.3">
      <c r="A463" s="1"/>
      <c r="B463" s="1"/>
      <c r="L463" s="3"/>
      <c r="M463" s="1"/>
      <c r="N463" s="1"/>
    </row>
    <row r="464" spans="1:14" s="2" customFormat="1" ht="18.75" customHeight="1" x14ac:dyDescent="0.3">
      <c r="A464" s="1"/>
      <c r="B464" s="1"/>
      <c r="L464" s="3"/>
      <c r="M464" s="1"/>
      <c r="N464" s="1"/>
    </row>
    <row r="465" spans="1:14" s="2" customFormat="1" ht="18.75" customHeight="1" x14ac:dyDescent="0.3">
      <c r="A465" s="1"/>
      <c r="B465" s="1"/>
      <c r="L465" s="3"/>
      <c r="M465" s="1"/>
      <c r="N465" s="1"/>
    </row>
    <row r="466" spans="1:14" s="2" customFormat="1" ht="18.75" customHeight="1" x14ac:dyDescent="0.3">
      <c r="A466" s="1"/>
      <c r="B466" s="1"/>
      <c r="L466" s="3"/>
      <c r="M466" s="1"/>
      <c r="N466" s="1"/>
    </row>
    <row r="467" spans="1:14" s="2" customFormat="1" ht="18.75" customHeight="1" x14ac:dyDescent="0.3">
      <c r="A467" s="1"/>
      <c r="B467" s="1"/>
      <c r="L467" s="3"/>
      <c r="M467" s="1"/>
      <c r="N467" s="1"/>
    </row>
    <row r="468" spans="1:14" s="2" customFormat="1" ht="18.75" customHeight="1" x14ac:dyDescent="0.3">
      <c r="A468" s="1"/>
      <c r="B468" s="1"/>
      <c r="L468" s="3"/>
      <c r="M468" s="1"/>
      <c r="N468" s="1"/>
    </row>
    <row r="469" spans="1:14" s="2" customFormat="1" ht="18.75" customHeight="1" x14ac:dyDescent="0.3">
      <c r="A469" s="1"/>
      <c r="B469" s="1"/>
      <c r="L469" s="3"/>
      <c r="M469" s="1"/>
      <c r="N469" s="1"/>
    </row>
    <row r="470" spans="1:14" s="2" customFormat="1" ht="18.75" customHeight="1" x14ac:dyDescent="0.3">
      <c r="A470" s="1"/>
      <c r="B470" s="1"/>
      <c r="L470" s="3"/>
      <c r="M470" s="1"/>
      <c r="N470" s="1"/>
    </row>
    <row r="471" spans="1:14" s="2" customFormat="1" ht="18.75" customHeight="1" x14ac:dyDescent="0.3">
      <c r="A471" s="1"/>
      <c r="B471" s="1"/>
      <c r="L471" s="3"/>
      <c r="M471" s="1"/>
      <c r="N471" s="1"/>
    </row>
    <row r="472" spans="1:14" s="2" customFormat="1" ht="18.75" customHeight="1" x14ac:dyDescent="0.3">
      <c r="A472" s="1"/>
      <c r="B472" s="1"/>
      <c r="L472" s="3"/>
      <c r="M472" s="1"/>
      <c r="N472" s="1"/>
    </row>
  </sheetData>
  <autoFilter ref="A8:N103" xr:uid="{00000000-0009-0000-0000-000001000000}"/>
  <mergeCells count="12">
    <mergeCell ref="A9:B9"/>
    <mergeCell ref="M7:M8"/>
    <mergeCell ref="C2:D2"/>
    <mergeCell ref="E2:F2"/>
    <mergeCell ref="A7:A8"/>
    <mergeCell ref="B7:B8"/>
    <mergeCell ref="E7:E8"/>
    <mergeCell ref="D125:F125"/>
    <mergeCell ref="A39:B39"/>
    <mergeCell ref="A92:B92"/>
    <mergeCell ref="B105:C105"/>
    <mergeCell ref="A22:B22"/>
  </mergeCells>
  <conditionalFormatting sqref="C4">
    <cfRule type="cellIs" dxfId="9" priority="45" operator="lessThan">
      <formula>$K$3*$C$3/$K$2-1.0001</formula>
    </cfRule>
    <cfRule type="cellIs" dxfId="8" priority="46" operator="between">
      <formula>$K$3*$C$3/$K$2-1</formula>
      <formula>$K$3*$C$3/$K$2+1</formula>
    </cfRule>
    <cfRule type="cellIs" dxfId="7" priority="47" operator="greaterThan">
      <formula>$K$3*$C$3/$K$2+1.0001</formula>
    </cfRule>
  </conditionalFormatting>
  <conditionalFormatting sqref="J106:J123">
    <cfRule type="expression" dxfId="6" priority="13" stopIfTrue="1">
      <formula>L105&lt;0</formula>
    </cfRule>
  </conditionalFormatting>
  <conditionalFormatting sqref="J125">
    <cfRule type="expression" dxfId="5" priority="11" stopIfTrue="1">
      <formula>L124&lt;0</formula>
    </cfRule>
  </conditionalFormatting>
  <conditionalFormatting sqref="J10:K21 J23:K38 J40:K91 J94:K101">
    <cfRule type="cellIs" dxfId="4" priority="44" operator="equal">
      <formula>0</formula>
    </cfRule>
  </conditionalFormatting>
  <conditionalFormatting sqref="K125">
    <cfRule type="expression" dxfId="3" priority="8" stopIfTrue="1">
      <formula>L124&lt;0</formula>
    </cfRule>
  </conditionalFormatting>
  <conditionalFormatting sqref="L1:L1048576">
    <cfRule type="cellIs" dxfId="2" priority="25" operator="lessThan">
      <formula>0</formula>
    </cfRule>
  </conditionalFormatting>
  <conditionalFormatting sqref="M106:M123">
    <cfRule type="expression" dxfId="1" priority="6" stopIfTrue="1">
      <formula>L105&lt;0</formula>
    </cfRule>
  </conditionalFormatting>
  <conditionalFormatting sqref="M125">
    <cfRule type="expression" dxfId="0" priority="5" stopIfTrue="1">
      <formula>L124&lt;0</formula>
    </cfRule>
  </conditionalFormatting>
  <pageMargins left="0" right="0" top="0" bottom="0" header="0" footer="0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A2U06</vt:lpstr>
      <vt:lpstr>Sheet 1</vt:lpstr>
      <vt:lpstr>A2U06!Print_Area</vt:lpstr>
      <vt:lpstr>'Sheet 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Akram</dc:creator>
  <cp:lastModifiedBy>Shantanu Guin</cp:lastModifiedBy>
  <cp:lastPrinted>2023-01-26T09:40:19Z</cp:lastPrinted>
  <dcterms:created xsi:type="dcterms:W3CDTF">2022-11-22T15:30:45Z</dcterms:created>
  <dcterms:modified xsi:type="dcterms:W3CDTF">2026-01-29T19:10:11Z</dcterms:modified>
</cp:coreProperties>
</file>